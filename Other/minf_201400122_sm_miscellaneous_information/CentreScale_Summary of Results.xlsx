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ll\Dropbox\Documents\University\UStA\5th Year\CH5441 - Research Project\R Stuff\R Script Dev\Regression\Ensemble\new-ensembledev\5-10 seeds\Solubility Challenge\"/>
    </mc:Choice>
  </mc:AlternateContent>
  <bookViews>
    <workbookView xWindow="0" yWindow="0" windowWidth="28800" windowHeight="12435" activeTab="5"/>
  </bookViews>
  <sheets>
    <sheet name="102" sheetId="1" r:id="rId1"/>
    <sheet name="459" sheetId="2" r:id="rId2"/>
    <sheet name="854" sheetId="3" r:id="rId3"/>
    <sheet name="912" sheetId="4" r:id="rId4"/>
    <sheet name="1257" sheetId="5" r:id="rId5"/>
    <sheet name="Combined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60" i="6" l="1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C60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C59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AC15" i="5"/>
  <c r="Y15" i="5"/>
  <c r="U15" i="5"/>
  <c r="Q15" i="5"/>
  <c r="M15" i="5"/>
  <c r="I15" i="5"/>
  <c r="E15" i="5"/>
  <c r="AE15" i="5"/>
  <c r="AD15" i="5"/>
  <c r="AC14" i="5"/>
  <c r="AB14" i="5"/>
  <c r="AA15" i="5"/>
  <c r="Z15" i="5"/>
  <c r="Y14" i="5"/>
  <c r="X14" i="5"/>
  <c r="W15" i="5"/>
  <c r="V15" i="5"/>
  <c r="U14" i="5"/>
  <c r="T14" i="5"/>
  <c r="S15" i="5"/>
  <c r="R15" i="5"/>
  <c r="Q14" i="5"/>
  <c r="P14" i="5"/>
  <c r="O15" i="5"/>
  <c r="N15" i="5"/>
  <c r="M14" i="5"/>
  <c r="L14" i="5"/>
  <c r="K15" i="5"/>
  <c r="J15" i="5"/>
  <c r="I14" i="5"/>
  <c r="H14" i="5"/>
  <c r="G15" i="5"/>
  <c r="F15" i="5"/>
  <c r="E14" i="5"/>
  <c r="D14" i="5"/>
  <c r="C15" i="5"/>
  <c r="B15" i="5"/>
  <c r="B14" i="5" l="1"/>
  <c r="F14" i="5"/>
  <c r="J14" i="5"/>
  <c r="N14" i="5"/>
  <c r="R14" i="5"/>
  <c r="V14" i="5"/>
  <c r="Z14" i="5"/>
  <c r="AD14" i="5"/>
  <c r="D15" i="5"/>
  <c r="H15" i="5"/>
  <c r="L15" i="5"/>
  <c r="P15" i="5"/>
  <c r="T15" i="5"/>
  <c r="X15" i="5"/>
  <c r="AB15" i="5"/>
  <c r="C14" i="5"/>
  <c r="G14" i="5"/>
  <c r="K14" i="5"/>
  <c r="O14" i="5"/>
  <c r="S14" i="5"/>
  <c r="W14" i="5"/>
  <c r="AA14" i="5"/>
  <c r="AE14" i="5"/>
  <c r="AC15" i="4" l="1"/>
  <c r="AB15" i="4"/>
  <c r="Y15" i="4"/>
  <c r="X15" i="4"/>
  <c r="U15" i="4"/>
  <c r="T15" i="4"/>
  <c r="Q15" i="4"/>
  <c r="P15" i="4"/>
  <c r="M15" i="4"/>
  <c r="L15" i="4"/>
  <c r="I15" i="4"/>
  <c r="H15" i="4"/>
  <c r="E15" i="4"/>
  <c r="D15" i="4"/>
  <c r="AE15" i="4"/>
  <c r="AD15" i="4"/>
  <c r="AC14" i="4"/>
  <c r="AB14" i="4"/>
  <c r="AA15" i="4"/>
  <c r="Z14" i="4"/>
  <c r="Y14" i="4"/>
  <c r="X14" i="4"/>
  <c r="W15" i="4"/>
  <c r="V15" i="4"/>
  <c r="U14" i="4"/>
  <c r="T14" i="4"/>
  <c r="S15" i="4"/>
  <c r="R14" i="4"/>
  <c r="Q14" i="4"/>
  <c r="P14" i="4"/>
  <c r="O15" i="4"/>
  <c r="N15" i="4"/>
  <c r="M14" i="4"/>
  <c r="L14" i="4"/>
  <c r="K15" i="4"/>
  <c r="J14" i="4"/>
  <c r="I14" i="4"/>
  <c r="H14" i="4"/>
  <c r="G15" i="4"/>
  <c r="F15" i="4"/>
  <c r="E14" i="4"/>
  <c r="D14" i="4"/>
  <c r="C15" i="4"/>
  <c r="B14" i="4"/>
  <c r="F14" i="4" l="1"/>
  <c r="N14" i="4"/>
  <c r="V14" i="4"/>
  <c r="AD14" i="4"/>
  <c r="C14" i="4"/>
  <c r="K14" i="4"/>
  <c r="S14" i="4"/>
  <c r="AA14" i="4"/>
  <c r="B15" i="4"/>
  <c r="J15" i="4"/>
  <c r="R15" i="4"/>
  <c r="Z15" i="4"/>
  <c r="G14" i="4"/>
  <c r="O14" i="4"/>
  <c r="W14" i="4"/>
  <c r="AE14" i="4"/>
  <c r="AC15" i="3" l="1"/>
  <c r="AB15" i="3"/>
  <c r="Y15" i="3"/>
  <c r="X15" i="3"/>
  <c r="U15" i="3"/>
  <c r="T15" i="3"/>
  <c r="Q15" i="3"/>
  <c r="P15" i="3"/>
  <c r="M15" i="3"/>
  <c r="L15" i="3"/>
  <c r="I15" i="3"/>
  <c r="H15" i="3"/>
  <c r="E15" i="3"/>
  <c r="D15" i="3"/>
  <c r="AE15" i="3"/>
  <c r="AD15" i="3"/>
  <c r="AC14" i="3"/>
  <c r="AB14" i="3"/>
  <c r="AA15" i="3"/>
  <c r="Z15" i="3"/>
  <c r="Y14" i="3"/>
  <c r="X14" i="3"/>
  <c r="W15" i="3"/>
  <c r="V15" i="3"/>
  <c r="U14" i="3"/>
  <c r="T14" i="3"/>
  <c r="S15" i="3"/>
  <c r="R15" i="3"/>
  <c r="Q14" i="3"/>
  <c r="P14" i="3"/>
  <c r="O15" i="3"/>
  <c r="N15" i="3"/>
  <c r="M14" i="3"/>
  <c r="L14" i="3"/>
  <c r="K15" i="3"/>
  <c r="J15" i="3"/>
  <c r="I14" i="3"/>
  <c r="H14" i="3"/>
  <c r="G15" i="3"/>
  <c r="F15" i="3"/>
  <c r="E14" i="3"/>
  <c r="D14" i="3"/>
  <c r="C15" i="3"/>
  <c r="B15" i="3"/>
  <c r="B14" i="3" l="1"/>
  <c r="F14" i="3"/>
  <c r="J14" i="3"/>
  <c r="N14" i="3"/>
  <c r="R14" i="3"/>
  <c r="V14" i="3"/>
  <c r="Z14" i="3"/>
  <c r="AD14" i="3"/>
  <c r="C14" i="3"/>
  <c r="G14" i="3"/>
  <c r="K14" i="3"/>
  <c r="O14" i="3"/>
  <c r="S14" i="3"/>
  <c r="W14" i="3"/>
  <c r="AA14" i="3"/>
  <c r="AE14" i="3"/>
  <c r="AB15" i="2" l="1"/>
  <c r="X15" i="2"/>
  <c r="T15" i="2"/>
  <c r="P15" i="2"/>
  <c r="L15" i="2"/>
  <c r="H15" i="2"/>
  <c r="D15" i="2"/>
  <c r="AE15" i="2"/>
  <c r="AD15" i="2"/>
  <c r="AC14" i="2"/>
  <c r="AB14" i="2"/>
  <c r="AA15" i="2"/>
  <c r="Z15" i="2"/>
  <c r="Y14" i="2"/>
  <c r="X14" i="2"/>
  <c r="W15" i="2"/>
  <c r="V15" i="2"/>
  <c r="U14" i="2"/>
  <c r="T14" i="2"/>
  <c r="S15" i="2"/>
  <c r="R15" i="2"/>
  <c r="Q14" i="2"/>
  <c r="P14" i="2"/>
  <c r="O15" i="2"/>
  <c r="N15" i="2"/>
  <c r="M14" i="2"/>
  <c r="L14" i="2"/>
  <c r="K15" i="2"/>
  <c r="J15" i="2"/>
  <c r="I14" i="2"/>
  <c r="H14" i="2"/>
  <c r="G15" i="2"/>
  <c r="F15" i="2"/>
  <c r="E14" i="2"/>
  <c r="D14" i="2"/>
  <c r="C15" i="2"/>
  <c r="B15" i="2"/>
  <c r="B14" i="2" l="1"/>
  <c r="J14" i="2"/>
  <c r="R14" i="2"/>
  <c r="Z14" i="2"/>
  <c r="C14" i="2"/>
  <c r="G14" i="2"/>
  <c r="K14" i="2"/>
  <c r="O14" i="2"/>
  <c r="S14" i="2"/>
  <c r="W14" i="2"/>
  <c r="AA14" i="2"/>
  <c r="AE14" i="2"/>
  <c r="E15" i="2"/>
  <c r="I15" i="2"/>
  <c r="M15" i="2"/>
  <c r="Q15" i="2"/>
  <c r="U15" i="2"/>
  <c r="Y15" i="2"/>
  <c r="AC15" i="2"/>
  <c r="F14" i="2"/>
  <c r="N14" i="2"/>
  <c r="V14" i="2"/>
  <c r="AD14" i="2"/>
  <c r="AD15" i="1" l="1"/>
  <c r="Z15" i="1"/>
  <c r="V15" i="1"/>
  <c r="R15" i="1"/>
  <c r="N15" i="1"/>
  <c r="J15" i="1"/>
  <c r="F15" i="1"/>
  <c r="B15" i="1"/>
  <c r="AE15" i="1"/>
  <c r="AD14" i="1"/>
  <c r="AC14" i="1"/>
  <c r="AB14" i="1"/>
  <c r="AA15" i="1"/>
  <c r="Z14" i="1"/>
  <c r="Y14" i="1"/>
  <c r="X15" i="1"/>
  <c r="W15" i="1"/>
  <c r="V14" i="1"/>
  <c r="U14" i="1"/>
  <c r="T14" i="1"/>
  <c r="S15" i="1"/>
  <c r="R14" i="1"/>
  <c r="Q14" i="1"/>
  <c r="P15" i="1"/>
  <c r="O15" i="1"/>
  <c r="N14" i="1"/>
  <c r="M14" i="1"/>
  <c r="L14" i="1"/>
  <c r="K15" i="1"/>
  <c r="J14" i="1"/>
  <c r="I14" i="1"/>
  <c r="H14" i="1"/>
  <c r="G15" i="1"/>
  <c r="F14" i="1"/>
  <c r="E14" i="1"/>
  <c r="D15" i="1"/>
  <c r="C15" i="1"/>
  <c r="B14" i="1"/>
  <c r="D14" i="1" l="1"/>
  <c r="P14" i="1"/>
  <c r="X14" i="1"/>
  <c r="H15" i="1"/>
  <c r="L15" i="1"/>
  <c r="T15" i="1"/>
  <c r="AB15" i="1"/>
  <c r="C14" i="1"/>
  <c r="G14" i="1"/>
  <c r="K14" i="1"/>
  <c r="O14" i="1"/>
  <c r="S14" i="1"/>
  <c r="W14" i="1"/>
  <c r="AA14" i="1"/>
  <c r="AE14" i="1"/>
  <c r="E15" i="1"/>
  <c r="I15" i="1"/>
  <c r="M15" i="1"/>
  <c r="Q15" i="1"/>
  <c r="U15" i="1"/>
  <c r="Y15" i="1"/>
  <c r="AC15" i="1"/>
</calcChain>
</file>

<file path=xl/sharedStrings.xml><?xml version="1.0" encoding="utf-8"?>
<sst xmlns="http://schemas.openxmlformats.org/spreadsheetml/2006/main" count="208" uniqueCount="26">
  <si>
    <t>RMSE</t>
  </si>
  <si>
    <t>R2</t>
  </si>
  <si>
    <t>rvmRadial</t>
  </si>
  <si>
    <t>rvmPoly</t>
  </si>
  <si>
    <t>svmRadial</t>
  </si>
  <si>
    <t>svmPoly</t>
  </si>
  <si>
    <t>gaussprRadial</t>
  </si>
  <si>
    <t>gaussprPoly</t>
  </si>
  <si>
    <t>nnet</t>
  </si>
  <si>
    <t>knn</t>
  </si>
  <si>
    <t>treebag</t>
  </si>
  <si>
    <t>rf</t>
  </si>
  <si>
    <t>cubist</t>
  </si>
  <si>
    <t>pls</t>
  </si>
  <si>
    <t>pcr</t>
  </si>
  <si>
    <t>ens_greedy</t>
  </si>
  <si>
    <t>ens_linear</t>
  </si>
  <si>
    <t>AVG</t>
  </si>
  <si>
    <t>MED</t>
  </si>
  <si>
    <t>MEDIAN</t>
  </si>
  <si>
    <t>Average</t>
  </si>
  <si>
    <t>Median</t>
  </si>
  <si>
    <t>High</t>
  </si>
  <si>
    <t>Low</t>
  </si>
  <si>
    <t>StDevP</t>
  </si>
  <si>
    <t>StdevS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</si>
</sst>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Fill="1" applyBorder="1"/>
    <xf numFmtId="0" fontId="0" fillId="0" borderId="12" xfId="0" applyBorder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0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"/>
  <sheetViews>
    <sheetView workbookViewId="0">
      <selection activeCell="L23" sqref="L23"/>
    </sheetView>
  </sheetViews>
  <sheetFormatPr defaultRowHeight="15" x14ac:dyDescent="0.25"/>
  <sheetData>
    <row r="1" spans="1:31" x14ac:dyDescent="0.2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x14ac:dyDescent="0.25"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6" t="s">
        <v>16</v>
      </c>
      <c r="Q2" s="5" t="s">
        <v>2</v>
      </c>
      <c r="R2" s="5" t="s">
        <v>3</v>
      </c>
      <c r="S2" s="5" t="s">
        <v>4</v>
      </c>
      <c r="T2" s="5" t="s">
        <v>5</v>
      </c>
      <c r="U2" s="5" t="s">
        <v>6</v>
      </c>
      <c r="V2" s="5" t="s">
        <v>7</v>
      </c>
      <c r="W2" s="5" t="s">
        <v>8</v>
      </c>
      <c r="X2" s="5" t="s">
        <v>9</v>
      </c>
      <c r="Y2" s="5" t="s">
        <v>10</v>
      </c>
      <c r="Z2" s="5" t="s">
        <v>11</v>
      </c>
      <c r="AA2" s="5" t="s">
        <v>12</v>
      </c>
      <c r="AB2" s="5" t="s">
        <v>13</v>
      </c>
      <c r="AC2" s="5" t="s">
        <v>14</v>
      </c>
      <c r="AD2" s="5" t="s">
        <v>15</v>
      </c>
      <c r="AE2" s="6" t="s">
        <v>16</v>
      </c>
    </row>
    <row r="3" spans="1:31" x14ac:dyDescent="0.25">
      <c r="A3">
        <v>1</v>
      </c>
      <c r="B3">
        <v>0.87732969397090577</v>
      </c>
      <c r="C3">
        <v>0.69981961293012274</v>
      </c>
      <c r="D3">
        <v>0.83406167299681755</v>
      </c>
      <c r="E3">
        <v>0.63031634520347546</v>
      </c>
      <c r="F3">
        <v>0.81085520115991339</v>
      </c>
      <c r="G3">
        <v>0.61960758202033284</v>
      </c>
      <c r="H3">
        <v>0.83890706983064178</v>
      </c>
      <c r="I3">
        <v>0.75384390495999465</v>
      </c>
      <c r="J3">
        <v>0.80404311652868887</v>
      </c>
      <c r="K3">
        <v>0.57510392834954904</v>
      </c>
      <c r="L3">
        <v>0.51687260759720433</v>
      </c>
      <c r="M3">
        <v>0.83097625125385899</v>
      </c>
      <c r="N3">
        <v>0.88404016250356721</v>
      </c>
      <c r="O3">
        <v>0.55903246157259656</v>
      </c>
      <c r="P3">
        <v>0.52280410936936983</v>
      </c>
      <c r="Q3">
        <v>0.84064188510813409</v>
      </c>
      <c r="R3">
        <v>0.78791612997113447</v>
      </c>
      <c r="S3">
        <v>0.74200464987379577</v>
      </c>
      <c r="T3">
        <v>0.84773012986620588</v>
      </c>
      <c r="U3">
        <v>0.78450097923768669</v>
      </c>
      <c r="V3">
        <v>0.831560270700344</v>
      </c>
      <c r="W3">
        <v>0.70687124734076301</v>
      </c>
      <c r="X3">
        <v>0.85029070092788039</v>
      </c>
      <c r="Y3">
        <v>0.77072336994499835</v>
      </c>
      <c r="Z3">
        <v>0.88374192695325282</v>
      </c>
      <c r="AA3">
        <v>0.90728212984375467</v>
      </c>
      <c r="AB3">
        <v>0.72849150574140353</v>
      </c>
      <c r="AC3">
        <v>0.68290621232616677</v>
      </c>
      <c r="AD3">
        <v>0.88697175286616659</v>
      </c>
      <c r="AE3">
        <v>0.88020702197178613</v>
      </c>
    </row>
    <row r="4" spans="1:31" x14ac:dyDescent="0.25">
      <c r="A4">
        <v>2</v>
      </c>
      <c r="B4">
        <v>1.0877572755870217</v>
      </c>
      <c r="C4">
        <v>0.72767302170440307</v>
      </c>
      <c r="D4">
        <v>0.97877446818227742</v>
      </c>
      <c r="E4">
        <v>0.7368659815487707</v>
      </c>
      <c r="F4">
        <v>1.0791078942821628</v>
      </c>
      <c r="G4">
        <v>0.8115084982882701</v>
      </c>
      <c r="H4">
        <v>1.0859223045565538</v>
      </c>
      <c r="I4">
        <v>1.0353752942773939</v>
      </c>
      <c r="J4">
        <v>1.0083029151292615</v>
      </c>
      <c r="K4">
        <v>0.809320457735068</v>
      </c>
      <c r="L4">
        <v>0.60811092758462526</v>
      </c>
      <c r="M4">
        <v>0.66904371258037643</v>
      </c>
      <c r="N4">
        <v>0.57471839899496302</v>
      </c>
      <c r="O4">
        <v>0.63382178241403153</v>
      </c>
      <c r="P4">
        <v>0.68854364640619059</v>
      </c>
      <c r="Q4">
        <v>0.56328044092622065</v>
      </c>
      <c r="R4">
        <v>0.78119370352699269</v>
      </c>
      <c r="S4">
        <v>0.63063522349796164</v>
      </c>
      <c r="T4">
        <v>0.79117478836859689</v>
      </c>
      <c r="U4">
        <v>0.67221373810847962</v>
      </c>
      <c r="V4">
        <v>0.77119225329220897</v>
      </c>
      <c r="W4">
        <v>0.52351631127818943</v>
      </c>
      <c r="X4">
        <v>0.62681416497908427</v>
      </c>
      <c r="Y4">
        <v>0.80984336778008936</v>
      </c>
      <c r="Z4">
        <v>0.85981025586323756</v>
      </c>
      <c r="AA4">
        <v>0.84480224733876907</v>
      </c>
      <c r="AB4">
        <v>0.83204571592264354</v>
      </c>
      <c r="AC4">
        <v>0.88803175005939627</v>
      </c>
      <c r="AD4">
        <v>0.83498295825491153</v>
      </c>
      <c r="AE4">
        <v>0.85109870900541507</v>
      </c>
    </row>
    <row r="5" spans="1:31" x14ac:dyDescent="0.25">
      <c r="A5">
        <v>3</v>
      </c>
      <c r="B5">
        <v>0.83876771833221553</v>
      </c>
      <c r="C5">
        <v>0.76397791958643368</v>
      </c>
      <c r="D5">
        <v>0.57614908657548791</v>
      </c>
      <c r="E5">
        <v>0.62956981943918844</v>
      </c>
      <c r="F5">
        <v>0.37319604161290143</v>
      </c>
      <c r="G5">
        <v>0.58779255359660298</v>
      </c>
      <c r="H5">
        <v>0.95952776328466749</v>
      </c>
      <c r="I5">
        <v>0.71403145804433799</v>
      </c>
      <c r="J5">
        <v>0.44709897633857326</v>
      </c>
      <c r="K5">
        <v>0.36159394958784702</v>
      </c>
      <c r="L5">
        <v>0.64788217878644949</v>
      </c>
      <c r="M5">
        <v>0.73563533724215879</v>
      </c>
      <c r="N5">
        <v>0.74663545402373621</v>
      </c>
      <c r="O5">
        <v>0.54822735458566818</v>
      </c>
      <c r="P5">
        <v>0.71205738947217112</v>
      </c>
      <c r="Q5">
        <v>0.70946833519086816</v>
      </c>
      <c r="R5">
        <v>0.70799658315884006</v>
      </c>
      <c r="S5">
        <v>0.68171963309810013</v>
      </c>
      <c r="T5">
        <v>0.77323347816717869</v>
      </c>
      <c r="U5">
        <v>0.80100996449446982</v>
      </c>
      <c r="V5">
        <v>0.7410281190423017</v>
      </c>
      <c r="W5">
        <v>0.60523365958197262</v>
      </c>
      <c r="X5">
        <v>0.52801990095592133</v>
      </c>
      <c r="Y5">
        <v>0.86606748863348426</v>
      </c>
      <c r="Z5">
        <v>0.88529159551745207</v>
      </c>
      <c r="AA5">
        <v>0.77723367248254471</v>
      </c>
      <c r="AB5">
        <v>0.67128593390046598</v>
      </c>
      <c r="AC5">
        <v>0.69554888390902148</v>
      </c>
      <c r="AD5">
        <v>0.83301586569640895</v>
      </c>
      <c r="AE5">
        <v>0.73765645883551756</v>
      </c>
    </row>
    <row r="6" spans="1:31" x14ac:dyDescent="0.25">
      <c r="A6">
        <v>4</v>
      </c>
      <c r="B6">
        <v>1.7548413040065998</v>
      </c>
      <c r="C6">
        <v>1.1720063491341461</v>
      </c>
      <c r="D6">
        <v>0.86931548662477343</v>
      </c>
      <c r="E6">
        <v>0.93056344836954374</v>
      </c>
      <c r="F6">
        <v>1.153055461203081</v>
      </c>
      <c r="G6">
        <v>1.0510664111317687</v>
      </c>
      <c r="H6">
        <v>0.98923413121447956</v>
      </c>
      <c r="I6">
        <v>1.1001742286262359</v>
      </c>
      <c r="J6">
        <v>1.0398412824358101</v>
      </c>
      <c r="K6">
        <v>0.83318706951250365</v>
      </c>
      <c r="L6">
        <v>1.0686904088279028</v>
      </c>
      <c r="M6">
        <v>1.1385429332004058</v>
      </c>
      <c r="N6">
        <v>1.0820637805491951</v>
      </c>
      <c r="O6">
        <v>0.86661349526384379</v>
      </c>
      <c r="P6">
        <v>0.86245251049695471</v>
      </c>
      <c r="Q6">
        <v>0.13630949318095709</v>
      </c>
      <c r="R6">
        <v>0.53475055634351198</v>
      </c>
      <c r="S6">
        <v>0.69914129130778191</v>
      </c>
      <c r="T6">
        <v>0.68740242582424027</v>
      </c>
      <c r="U6">
        <v>0.62147546178292157</v>
      </c>
      <c r="V6">
        <v>0.60187550442327342</v>
      </c>
      <c r="W6">
        <v>0.60209196370116036</v>
      </c>
      <c r="X6">
        <v>0.55044144222581382</v>
      </c>
      <c r="Y6">
        <v>0.62681231998437603</v>
      </c>
      <c r="Z6">
        <v>0.74954896728125087</v>
      </c>
      <c r="AA6">
        <v>0.54898538402219088</v>
      </c>
      <c r="AB6">
        <v>0.47368126371419972</v>
      </c>
      <c r="AC6">
        <v>0.52927355911948959</v>
      </c>
      <c r="AD6">
        <v>0.68412225210434685</v>
      </c>
      <c r="AE6">
        <v>0.71350145892205297</v>
      </c>
    </row>
    <row r="7" spans="1:31" x14ac:dyDescent="0.25">
      <c r="A7">
        <v>5</v>
      </c>
      <c r="B7">
        <v>1.1676454362910929</v>
      </c>
      <c r="C7">
        <v>0.96096010088552419</v>
      </c>
      <c r="D7">
        <v>0.72531164196778208</v>
      </c>
      <c r="E7">
        <v>0.67589143216902814</v>
      </c>
      <c r="F7">
        <v>0.93724080786601127</v>
      </c>
      <c r="G7">
        <v>0.69582616033250966</v>
      </c>
      <c r="H7">
        <v>0.92615732558998864</v>
      </c>
      <c r="I7">
        <v>0.99063273041732447</v>
      </c>
      <c r="J7">
        <v>1.03742694003839</v>
      </c>
      <c r="K7">
        <v>0.79096047279973714</v>
      </c>
      <c r="L7">
        <v>0.8716901834457873</v>
      </c>
      <c r="M7">
        <v>0.93486696443669648</v>
      </c>
      <c r="N7">
        <v>0.94809633375882063</v>
      </c>
      <c r="O7">
        <v>0.59691067683127164</v>
      </c>
      <c r="P7">
        <v>0.96561249239217761</v>
      </c>
      <c r="Q7">
        <v>0.58847903012791025</v>
      </c>
      <c r="R7">
        <v>0.67173909958326294</v>
      </c>
      <c r="S7">
        <v>0.83438768644473826</v>
      </c>
      <c r="T7">
        <v>0.84400872466056032</v>
      </c>
      <c r="U7">
        <v>0.85280470470677816</v>
      </c>
      <c r="V7">
        <v>0.87081448619810664</v>
      </c>
      <c r="W7">
        <v>0.72132284041373185</v>
      </c>
      <c r="X7">
        <v>0.73506975427168064</v>
      </c>
      <c r="Y7">
        <v>0.71984824291459204</v>
      </c>
      <c r="Z7">
        <v>0.830429619807317</v>
      </c>
      <c r="AA7">
        <v>0.7567330807434679</v>
      </c>
      <c r="AB7">
        <v>0.7100852598885532</v>
      </c>
      <c r="AC7">
        <v>0.68218067345425104</v>
      </c>
      <c r="AD7">
        <v>0.89528125607721709</v>
      </c>
      <c r="AE7">
        <v>0.72233796009301598</v>
      </c>
    </row>
    <row r="8" spans="1:31" x14ac:dyDescent="0.25">
      <c r="A8">
        <v>6</v>
      </c>
      <c r="B8">
        <v>0.79639727876805722</v>
      </c>
      <c r="C8">
        <v>0.68746520705075187</v>
      </c>
      <c r="D8">
        <v>0.62289540190916748</v>
      </c>
      <c r="E8">
        <v>0.63448188511591885</v>
      </c>
      <c r="F8">
        <v>0.61180773418854117</v>
      </c>
      <c r="G8">
        <v>0.62544637716054452</v>
      </c>
      <c r="H8">
        <v>0.82583999805501052</v>
      </c>
      <c r="I8">
        <v>0.6913183058476029</v>
      </c>
      <c r="J8">
        <v>0.8636718028241398</v>
      </c>
      <c r="K8">
        <v>0.76556449312234087</v>
      </c>
      <c r="L8">
        <v>0.65865089534245436</v>
      </c>
      <c r="M8">
        <v>0.63446311474623962</v>
      </c>
      <c r="N8">
        <v>0.71341852632127278</v>
      </c>
      <c r="O8">
        <v>0.57135886194339358</v>
      </c>
      <c r="P8">
        <v>0.69636290385084654</v>
      </c>
      <c r="Q8">
        <v>0.53357396846375926</v>
      </c>
      <c r="R8">
        <v>0.61813650970675293</v>
      </c>
      <c r="S8">
        <v>0.69007173865612537</v>
      </c>
      <c r="T8">
        <v>0.65109134015049885</v>
      </c>
      <c r="U8">
        <v>0.6749655319550224</v>
      </c>
      <c r="V8">
        <v>0.69504078896795507</v>
      </c>
      <c r="W8">
        <v>0.79627358276208604</v>
      </c>
      <c r="X8">
        <v>0.5932424387376829</v>
      </c>
      <c r="Y8">
        <v>0.46962134166894565</v>
      </c>
      <c r="Z8">
        <v>0.5393112069430569</v>
      </c>
      <c r="AA8">
        <v>0.64428796055564874</v>
      </c>
      <c r="AB8">
        <v>0.68446883463026209</v>
      </c>
      <c r="AC8">
        <v>0.61480498766560898</v>
      </c>
      <c r="AD8">
        <v>0.72475902453795416</v>
      </c>
      <c r="AE8">
        <v>0.61718806862575804</v>
      </c>
    </row>
    <row r="9" spans="1:31" x14ac:dyDescent="0.25">
      <c r="A9">
        <v>7</v>
      </c>
      <c r="B9">
        <v>0.90963742480282572</v>
      </c>
      <c r="C9">
        <v>0.99187688536598795</v>
      </c>
      <c r="D9">
        <v>0.87817586308367079</v>
      </c>
      <c r="E9">
        <v>0.94494494666078288</v>
      </c>
      <c r="F9">
        <v>0.76913369567087175</v>
      </c>
      <c r="G9">
        <v>0.94220625639170241</v>
      </c>
      <c r="H9">
        <v>1.0923693788756994</v>
      </c>
      <c r="I9">
        <v>0.63878634925928091</v>
      </c>
      <c r="J9">
        <v>0.80766744210586638</v>
      </c>
      <c r="K9">
        <v>0.89250826983227449</v>
      </c>
      <c r="L9">
        <v>1.0102725439861098</v>
      </c>
      <c r="M9">
        <v>0.94941290150088709</v>
      </c>
      <c r="N9">
        <v>0.77569560245202918</v>
      </c>
      <c r="O9">
        <v>0.90312776158784225</v>
      </c>
      <c r="P9">
        <v>0.90160866943956519</v>
      </c>
      <c r="Q9">
        <v>0.47079724552915514</v>
      </c>
      <c r="R9">
        <v>0.27770385559106736</v>
      </c>
      <c r="S9">
        <v>0.37433182836523832</v>
      </c>
      <c r="T9">
        <v>0.3278137580896538</v>
      </c>
      <c r="U9">
        <v>0.47815611681224551</v>
      </c>
      <c r="V9">
        <v>0.35367848706702049</v>
      </c>
      <c r="W9">
        <v>0.36049706431837458</v>
      </c>
      <c r="X9">
        <v>0.63839136002848995</v>
      </c>
      <c r="Y9">
        <v>0.44110119801693892</v>
      </c>
      <c r="Z9">
        <v>0.32491808337736811</v>
      </c>
      <c r="AA9">
        <v>0.29814909910191217</v>
      </c>
      <c r="AB9">
        <v>0.31117990041407906</v>
      </c>
      <c r="AC9">
        <v>0.46393050327721935</v>
      </c>
      <c r="AD9">
        <v>0.37215652593675747</v>
      </c>
      <c r="AE9">
        <v>0.42116365968133962</v>
      </c>
    </row>
    <row r="10" spans="1:31" x14ac:dyDescent="0.25">
      <c r="A10">
        <v>8</v>
      </c>
      <c r="B10">
        <v>1.2855008280957452</v>
      </c>
      <c r="C10">
        <v>1.1804420567894827</v>
      </c>
      <c r="D10">
        <v>1.1344407424286207</v>
      </c>
      <c r="E10">
        <v>1.1513940440047847</v>
      </c>
      <c r="F10">
        <v>1.1721325515653083</v>
      </c>
      <c r="G10">
        <v>1.1480235816942088</v>
      </c>
      <c r="H10">
        <v>1.6059872461715765</v>
      </c>
      <c r="I10">
        <v>1.1842203009944494</v>
      </c>
      <c r="J10">
        <v>0.94024951920495758</v>
      </c>
      <c r="K10">
        <v>0.97551616401081986</v>
      </c>
      <c r="L10">
        <v>1.207827349333161</v>
      </c>
      <c r="M10">
        <v>1.2372691588353271</v>
      </c>
      <c r="N10">
        <v>1.2185963692260862</v>
      </c>
      <c r="O10">
        <v>1.1976332756990411</v>
      </c>
      <c r="P10">
        <v>1.2880548510640433</v>
      </c>
      <c r="Q10">
        <v>0.34622294075939897</v>
      </c>
      <c r="R10">
        <v>0.42036836234782743</v>
      </c>
      <c r="S10">
        <v>0.38462896120433193</v>
      </c>
      <c r="T10">
        <v>0.4228985677030152</v>
      </c>
      <c r="U10">
        <v>0.34448154379819279</v>
      </c>
      <c r="V10">
        <v>0.397797537021019</v>
      </c>
      <c r="W10">
        <v>0.10975047931573187</v>
      </c>
      <c r="X10">
        <v>0.35522666390118807</v>
      </c>
      <c r="Y10">
        <v>0.57655524516351209</v>
      </c>
      <c r="Z10">
        <v>0.54919790802348578</v>
      </c>
      <c r="AA10">
        <v>0.41072774723052891</v>
      </c>
      <c r="AB10">
        <v>0.33486413696907069</v>
      </c>
      <c r="AC10">
        <v>0.33900592745394814</v>
      </c>
      <c r="AD10">
        <v>0.36477116772934765</v>
      </c>
      <c r="AE10">
        <v>0.35105468209011526</v>
      </c>
    </row>
    <row r="11" spans="1:31" x14ac:dyDescent="0.25">
      <c r="A11">
        <v>9</v>
      </c>
      <c r="B11">
        <v>1.3928573733459755</v>
      </c>
      <c r="C11">
        <v>0.94218505900685456</v>
      </c>
      <c r="D11">
        <v>0.69979673011400256</v>
      </c>
      <c r="E11">
        <v>1.9312553997990964</v>
      </c>
      <c r="F11">
        <v>0.78505793334027274</v>
      </c>
      <c r="G11">
        <v>0.85328957425952401</v>
      </c>
      <c r="H11">
        <v>0.63713617140837064</v>
      </c>
      <c r="I11">
        <v>0.8819327260813794</v>
      </c>
      <c r="J11">
        <v>0.96657222933868214</v>
      </c>
      <c r="K11">
        <v>0.89152954535641538</v>
      </c>
      <c r="L11">
        <v>0.85204720813628243</v>
      </c>
      <c r="M11">
        <v>0.83103717289165235</v>
      </c>
      <c r="N11">
        <v>0.88824318969863214</v>
      </c>
      <c r="O11">
        <v>1.0087474235610221</v>
      </c>
      <c r="P11">
        <v>0.99222796475280817</v>
      </c>
      <c r="Q11">
        <v>0.23869686923356165</v>
      </c>
      <c r="R11">
        <v>0.57214875585496183</v>
      </c>
      <c r="S11">
        <v>0.81011668282050442</v>
      </c>
      <c r="T11">
        <v>0.42726207233212793</v>
      </c>
      <c r="U11">
        <v>0.82521525330768475</v>
      </c>
      <c r="V11">
        <v>0.76085531930951522</v>
      </c>
      <c r="W11">
        <v>0.86025915577719636</v>
      </c>
      <c r="X11">
        <v>0.62206785008183851</v>
      </c>
      <c r="Y11">
        <v>0.54695261727196209</v>
      </c>
      <c r="Z11">
        <v>0.63838119673297622</v>
      </c>
      <c r="AA11">
        <v>0.64359807731274121</v>
      </c>
      <c r="AB11">
        <v>0.69333195947443138</v>
      </c>
      <c r="AC11">
        <v>0.65296734116983868</v>
      </c>
      <c r="AD11">
        <v>0.64622804633120312</v>
      </c>
      <c r="AE11">
        <v>0.64181205429859278</v>
      </c>
    </row>
    <row r="12" spans="1:31" x14ac:dyDescent="0.25">
      <c r="A12">
        <v>10</v>
      </c>
      <c r="B12">
        <v>1.4338904528145833</v>
      </c>
      <c r="C12">
        <v>0.68236490103469083</v>
      </c>
      <c r="D12">
        <v>0.56691344519482567</v>
      </c>
      <c r="E12">
        <v>0.81898665990356645</v>
      </c>
      <c r="F12">
        <v>0.6426374252468624</v>
      </c>
      <c r="G12">
        <v>0.86109012183231914</v>
      </c>
      <c r="H12">
        <v>0.77876681968641936</v>
      </c>
      <c r="I12">
        <v>0.68985843958501125</v>
      </c>
      <c r="J12">
        <v>0.73183619711380765</v>
      </c>
      <c r="K12">
        <v>0.68925292269795047</v>
      </c>
      <c r="L12">
        <v>0.93058094085580922</v>
      </c>
      <c r="M12">
        <v>0.80489254451722725</v>
      </c>
      <c r="N12">
        <v>0.69888016906953865</v>
      </c>
      <c r="O12">
        <v>0.72741083821174723</v>
      </c>
      <c r="P12">
        <v>0.75311875182990451</v>
      </c>
      <c r="Q12">
        <v>0.26481053162432411</v>
      </c>
      <c r="R12">
        <v>0.6367518893905757</v>
      </c>
      <c r="S12">
        <v>0.77689233799259083</v>
      </c>
      <c r="T12">
        <v>0.47992396744152332</v>
      </c>
      <c r="U12">
        <v>0.75521831035455456</v>
      </c>
      <c r="V12">
        <v>0.5171685114536605</v>
      </c>
      <c r="W12">
        <v>0.63232264607007427</v>
      </c>
      <c r="X12">
        <v>0.70624645227147509</v>
      </c>
      <c r="Y12">
        <v>0.67687255767634491</v>
      </c>
      <c r="Z12">
        <v>0.67224833044116272</v>
      </c>
      <c r="AA12">
        <v>0.31045761792312354</v>
      </c>
      <c r="AB12">
        <v>0.48920191391631745</v>
      </c>
      <c r="AC12">
        <v>0.62170286212624404</v>
      </c>
      <c r="AD12">
        <v>0.56123572525158205</v>
      </c>
      <c r="AE12">
        <v>0.52854739175721488</v>
      </c>
    </row>
    <row r="14" spans="1:31" x14ac:dyDescent="0.25">
      <c r="A14" t="s">
        <v>17</v>
      </c>
      <c r="B14">
        <f>AVERAGE(B3:B12)</f>
        <v>1.1544624786015023</v>
      </c>
      <c r="C14">
        <f>AVERAGE(C3:C12)</f>
        <v>0.88087711134883973</v>
      </c>
      <c r="D14">
        <f>AVERAGE(D3:D12)</f>
        <v>0.78858345390774254</v>
      </c>
      <c r="E14">
        <f>AVERAGE(E3:E12)</f>
        <v>0.90842699622141565</v>
      </c>
      <c r="F14">
        <f>AVERAGE(F3:F12)</f>
        <v>0.83342247461359276</v>
      </c>
      <c r="G14">
        <f>AVERAGE(G3:G12)</f>
        <v>0.81958571167077809</v>
      </c>
      <c r="H14">
        <f>AVERAGE(H3:H12)</f>
        <v>0.97398482086734062</v>
      </c>
      <c r="I14">
        <f>AVERAGE(I3:I12)</f>
        <v>0.86801737380930111</v>
      </c>
      <c r="J14">
        <f>AVERAGE(J3:J12)</f>
        <v>0.86467104210581769</v>
      </c>
      <c r="K14">
        <f>AVERAGE(K3:K12)</f>
        <v>0.75845372730045058</v>
      </c>
      <c r="L14">
        <f>AVERAGE(L3:L12)</f>
        <v>0.8372625243895786</v>
      </c>
      <c r="M14">
        <f>AVERAGE(M3:M12)</f>
        <v>0.87661400912048304</v>
      </c>
      <c r="N14">
        <f>AVERAGE(N3:N12)</f>
        <v>0.85303879865978405</v>
      </c>
      <c r="O14">
        <f>AVERAGE(O3:O12)</f>
        <v>0.76128839316704577</v>
      </c>
      <c r="P14">
        <f>AVERAGE(P3:P12)</f>
        <v>0.83828432890740312</v>
      </c>
      <c r="Q14">
        <f>AVERAGE(Q3:Q12)</f>
        <v>0.46922807401442901</v>
      </c>
      <c r="R14">
        <f>AVERAGE(R3:R12)</f>
        <v>0.60087054454749267</v>
      </c>
      <c r="S14">
        <f>AVERAGE(S3:S12)</f>
        <v>0.66239300332611695</v>
      </c>
      <c r="T14">
        <f>AVERAGE(T3:T12)</f>
        <v>0.62525392526036017</v>
      </c>
      <c r="U14">
        <f>AVERAGE(U3:U12)</f>
        <v>0.6810041604558037</v>
      </c>
      <c r="V14">
        <f>AVERAGE(V3:V12)</f>
        <v>0.65410112774754059</v>
      </c>
      <c r="W14">
        <f>AVERAGE(W3:W12)</f>
        <v>0.59181389505592796</v>
      </c>
      <c r="X14">
        <f>AVERAGE(X3:X12)</f>
        <v>0.62058107283810549</v>
      </c>
      <c r="Y14">
        <f>AVERAGE(Y3:Y12)</f>
        <v>0.6504397749055244</v>
      </c>
      <c r="Z14">
        <f>AVERAGE(Z3:Z12)</f>
        <v>0.69328790909405613</v>
      </c>
      <c r="AA14">
        <f>AVERAGE(AA3:AA12)</f>
        <v>0.61422570165546819</v>
      </c>
      <c r="AB14">
        <f>AVERAGE(AB3:AB12)</f>
        <v>0.59286364245714263</v>
      </c>
      <c r="AC14">
        <f>AVERAGE(AC3:AC12)</f>
        <v>0.61703527005611858</v>
      </c>
      <c r="AD14">
        <f>AVERAGE(AD3:AD12)</f>
        <v>0.68035245747858952</v>
      </c>
      <c r="AE14">
        <f>AVERAGE(AE3:AE12)</f>
        <v>0.64645674652808094</v>
      </c>
    </row>
    <row r="15" spans="1:31" x14ac:dyDescent="0.25">
      <c r="A15" t="s">
        <v>18</v>
      </c>
      <c r="B15">
        <f>MEDIAN(B3:B12)</f>
        <v>1.1277013559390574</v>
      </c>
      <c r="C15">
        <f>MEDIAN(C3:C12)</f>
        <v>0.85308148929664407</v>
      </c>
      <c r="D15">
        <f>MEDIAN(D3:D12)</f>
        <v>0.77968665748229982</v>
      </c>
      <c r="E15">
        <f>MEDIAN(E3:E12)</f>
        <v>0.77792632072616863</v>
      </c>
      <c r="F15">
        <f>MEDIAN(F3:F12)</f>
        <v>0.79795656725009301</v>
      </c>
      <c r="G15">
        <f>MEDIAN(G3:G12)</f>
        <v>0.83239903627389711</v>
      </c>
      <c r="H15">
        <f>MEDIAN(H3:H12)</f>
        <v>0.94284254443732807</v>
      </c>
      <c r="I15">
        <f>MEDIAN(I3:I12)</f>
        <v>0.81788831552068708</v>
      </c>
      <c r="J15">
        <f>MEDIAN(J3:J12)</f>
        <v>0.90196066101454875</v>
      </c>
      <c r="K15">
        <f>MEDIAN(K3:K12)</f>
        <v>0.80014046526740257</v>
      </c>
      <c r="L15">
        <f>MEDIAN(L3:L12)</f>
        <v>0.86186869579103487</v>
      </c>
      <c r="M15">
        <f>MEDIAN(M3:M12)</f>
        <v>0.83100671207275567</v>
      </c>
      <c r="N15">
        <f>MEDIAN(N3:N12)</f>
        <v>0.82986788247779819</v>
      </c>
      <c r="O15">
        <f>MEDIAN(O3:O12)</f>
        <v>0.68061631031288938</v>
      </c>
      <c r="P15">
        <f>MEDIAN(P3:P12)</f>
        <v>0.80778563116342961</v>
      </c>
      <c r="Q15">
        <f>MEDIAN(Q3:Q12)</f>
        <v>0.5021856069964572</v>
      </c>
      <c r="R15">
        <f>MEDIAN(R3:R12)</f>
        <v>0.62744419954866437</v>
      </c>
      <c r="S15">
        <f>MEDIAN(S3:S12)</f>
        <v>0.69460651498195358</v>
      </c>
      <c r="T15">
        <f>MEDIAN(T3:T12)</f>
        <v>0.66924688298736956</v>
      </c>
      <c r="U15">
        <f>MEDIAN(U3:U12)</f>
        <v>0.71509192115478848</v>
      </c>
      <c r="V15">
        <f>MEDIAN(V3:V12)</f>
        <v>0.71803445400512844</v>
      </c>
      <c r="W15">
        <f>MEDIAN(W3:W12)</f>
        <v>0.61877815282602344</v>
      </c>
      <c r="X15">
        <f>MEDIAN(X3:X12)</f>
        <v>0.62444100753046139</v>
      </c>
      <c r="Y15">
        <f>MEDIAN(Y3:Y12)</f>
        <v>0.65184243883036053</v>
      </c>
      <c r="Z15">
        <f>MEDIAN(Z3:Z12)</f>
        <v>0.71089864886120679</v>
      </c>
      <c r="AA15">
        <f>MEDIAN(AA3:AA12)</f>
        <v>0.64394301893419503</v>
      </c>
      <c r="AB15">
        <f>MEDIAN(AB3:AB12)</f>
        <v>0.67787738426536404</v>
      </c>
      <c r="AC15">
        <f>MEDIAN(AC3:AC12)</f>
        <v>0.6373351016480413</v>
      </c>
      <c r="AD15">
        <f>MEDIAN(AD3:AD12)</f>
        <v>0.70444063832115056</v>
      </c>
      <c r="AE15">
        <f>MEDIAN(AE3:AE12)</f>
        <v>0.67765675661032287</v>
      </c>
    </row>
  </sheetData>
  <mergeCells count="2">
    <mergeCell ref="B1:P1"/>
    <mergeCell ref="Q1:A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"/>
  <sheetViews>
    <sheetView zoomScale="90" zoomScaleNormal="90" workbookViewId="0">
      <selection activeCell="B3" sqref="B3:AE12"/>
    </sheetView>
  </sheetViews>
  <sheetFormatPr defaultRowHeight="15" x14ac:dyDescent="0.25"/>
  <sheetData>
    <row r="1" spans="1:31" x14ac:dyDescent="0.25">
      <c r="A1" s="13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5"/>
      <c r="Q1" s="16" t="s">
        <v>1</v>
      </c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5"/>
    </row>
    <row r="2" spans="1:31" x14ac:dyDescent="0.25">
      <c r="A2" s="17"/>
      <c r="B2" s="18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7</v>
      </c>
      <c r="H2" s="18" t="s">
        <v>8</v>
      </c>
      <c r="I2" s="18" t="s">
        <v>9</v>
      </c>
      <c r="J2" s="18" t="s">
        <v>10</v>
      </c>
      <c r="K2" s="18" t="s">
        <v>11</v>
      </c>
      <c r="L2" s="18" t="s">
        <v>12</v>
      </c>
      <c r="M2" s="18" t="s">
        <v>13</v>
      </c>
      <c r="N2" s="18" t="s">
        <v>14</v>
      </c>
      <c r="O2" s="18" t="s">
        <v>15</v>
      </c>
      <c r="P2" s="19" t="s">
        <v>16</v>
      </c>
      <c r="Q2" s="10" t="s">
        <v>2</v>
      </c>
      <c r="R2" s="11" t="s">
        <v>3</v>
      </c>
      <c r="S2" s="11" t="s">
        <v>4</v>
      </c>
      <c r="T2" s="11" t="s">
        <v>5</v>
      </c>
      <c r="U2" s="11" t="s">
        <v>6</v>
      </c>
      <c r="V2" s="11" t="s">
        <v>7</v>
      </c>
      <c r="W2" s="11" t="s">
        <v>8</v>
      </c>
      <c r="X2" s="11" t="s">
        <v>9</v>
      </c>
      <c r="Y2" s="11" t="s">
        <v>10</v>
      </c>
      <c r="Z2" s="11" t="s">
        <v>11</v>
      </c>
      <c r="AA2" s="11" t="s">
        <v>12</v>
      </c>
      <c r="AB2" s="11" t="s">
        <v>13</v>
      </c>
      <c r="AC2" s="11" t="s">
        <v>14</v>
      </c>
      <c r="AD2" s="11" t="s">
        <v>15</v>
      </c>
      <c r="AE2" s="12" t="s">
        <v>16</v>
      </c>
    </row>
    <row r="3" spans="1:31" x14ac:dyDescent="0.25">
      <c r="A3" s="17">
        <v>1</v>
      </c>
      <c r="B3">
        <v>1.1186813746009887</v>
      </c>
      <c r="C3">
        <v>1.0525752020561681</v>
      </c>
      <c r="D3">
        <v>1.0832330852889727</v>
      </c>
      <c r="E3">
        <v>1.0886586401092402</v>
      </c>
      <c r="F3">
        <v>1.1211023557141577</v>
      </c>
      <c r="G3">
        <v>1.0386602866355052</v>
      </c>
      <c r="H3">
        <v>1.1454858278056814</v>
      </c>
      <c r="I3">
        <v>1.1348554974092517</v>
      </c>
      <c r="J3">
        <v>1.0958987630150498</v>
      </c>
      <c r="K3">
        <v>1.1214298864525591</v>
      </c>
      <c r="L3">
        <v>0.98917860852135797</v>
      </c>
      <c r="M3">
        <v>1.0967126043405051</v>
      </c>
      <c r="N3">
        <v>1.1169308828173226</v>
      </c>
      <c r="O3">
        <v>1.0561207832075048</v>
      </c>
      <c r="P3">
        <v>1.0902319538895533</v>
      </c>
      <c r="Q3">
        <v>0.41276944902674279</v>
      </c>
      <c r="R3">
        <v>0.42342409900876982</v>
      </c>
      <c r="S3">
        <v>0.37231294855782582</v>
      </c>
      <c r="T3">
        <v>0.3577931284716705</v>
      </c>
      <c r="U3">
        <v>0.37120704880652794</v>
      </c>
      <c r="V3">
        <v>0.42000773137253683</v>
      </c>
      <c r="W3">
        <v>0.30572310062106617</v>
      </c>
      <c r="X3">
        <v>0.29949328354449672</v>
      </c>
      <c r="Y3">
        <v>0.34894155677504324</v>
      </c>
      <c r="Z3">
        <v>0.32065073251569326</v>
      </c>
      <c r="AA3">
        <v>0.47156881623104208</v>
      </c>
      <c r="AB3">
        <v>0.36325618128315285</v>
      </c>
      <c r="AC3">
        <v>0.32937449288979936</v>
      </c>
      <c r="AD3">
        <v>0.39864402978275892</v>
      </c>
      <c r="AE3">
        <v>0.36966944130488011</v>
      </c>
    </row>
    <row r="4" spans="1:31" x14ac:dyDescent="0.25">
      <c r="A4" s="17">
        <v>2</v>
      </c>
      <c r="B4">
        <v>1.1541999584704765</v>
      </c>
      <c r="C4">
        <v>1.2220486601385465</v>
      </c>
      <c r="D4">
        <v>1.0496966579407596</v>
      </c>
      <c r="E4">
        <v>1.1110606413752431</v>
      </c>
      <c r="F4">
        <v>1.1108735948495672</v>
      </c>
      <c r="G4">
        <v>1.0923898279838489</v>
      </c>
      <c r="H4">
        <v>1.3808484264661949</v>
      </c>
      <c r="I4">
        <v>1.1762683934091458</v>
      </c>
      <c r="J4">
        <v>1.3480534280309826</v>
      </c>
      <c r="K4">
        <v>1.280776832511263</v>
      </c>
      <c r="L4">
        <v>1.2664116460309551</v>
      </c>
      <c r="M4">
        <v>1.3196033630678261</v>
      </c>
      <c r="N4">
        <v>1.2764044048950551</v>
      </c>
      <c r="O4">
        <v>1.1749153022332435</v>
      </c>
      <c r="P4">
        <v>1.1393902835706693</v>
      </c>
      <c r="Q4">
        <v>0.34148525620513731</v>
      </c>
      <c r="R4">
        <v>0.25732826266150083</v>
      </c>
      <c r="S4">
        <v>0.36457339976071013</v>
      </c>
      <c r="T4">
        <v>0.28058437315078866</v>
      </c>
      <c r="U4">
        <v>0.27168354105439291</v>
      </c>
      <c r="V4">
        <v>0.33294409175883644</v>
      </c>
      <c r="W4">
        <v>0.17573403841803734</v>
      </c>
      <c r="X4">
        <v>0.23100588348258932</v>
      </c>
      <c r="Y4">
        <v>4.0784296131860624E-2</v>
      </c>
      <c r="Z4">
        <v>0.10299117355272139</v>
      </c>
      <c r="AA4">
        <v>0.21152985805404773</v>
      </c>
      <c r="AB4">
        <v>0.10760155359239129</v>
      </c>
      <c r="AC4">
        <v>0.16081991218603164</v>
      </c>
      <c r="AD4">
        <v>0.24319828468128471</v>
      </c>
      <c r="AE4">
        <v>0.30346510077635769</v>
      </c>
    </row>
    <row r="5" spans="1:31" x14ac:dyDescent="0.25">
      <c r="A5" s="17">
        <v>3</v>
      </c>
      <c r="B5">
        <v>1.2209564642112158</v>
      </c>
      <c r="C5">
        <v>1.0260387545533476</v>
      </c>
      <c r="D5">
        <v>0.86574199206851976</v>
      </c>
      <c r="E5">
        <v>1.0150958626803526</v>
      </c>
      <c r="F5">
        <v>1.0394569627421217</v>
      </c>
      <c r="G5">
        <v>1.0138891481097392</v>
      </c>
      <c r="H5">
        <v>0.97917507310643903</v>
      </c>
      <c r="I5">
        <v>1.0061553634427516</v>
      </c>
      <c r="J5">
        <v>1.0087191184841986</v>
      </c>
      <c r="K5">
        <v>1.0296665532338052</v>
      </c>
      <c r="L5">
        <v>0.9056096347485828</v>
      </c>
      <c r="M5">
        <v>1.1790253346108843</v>
      </c>
      <c r="N5">
        <v>1.1754827760799782</v>
      </c>
      <c r="O5">
        <v>1.000991631115788</v>
      </c>
      <c r="P5">
        <v>0.99250820846161869</v>
      </c>
      <c r="Q5">
        <v>0.31881383568079463</v>
      </c>
      <c r="R5">
        <v>0.56110790664948385</v>
      </c>
      <c r="S5">
        <v>0.71900057836910636</v>
      </c>
      <c r="T5">
        <v>0.64067371492598557</v>
      </c>
      <c r="U5">
        <v>0.62414078087925395</v>
      </c>
      <c r="V5">
        <v>0.61148040877893139</v>
      </c>
      <c r="W5">
        <v>0.57237244070644555</v>
      </c>
      <c r="X5">
        <v>0.60588811543163623</v>
      </c>
      <c r="Y5">
        <v>0.62893843863786725</v>
      </c>
      <c r="Z5">
        <v>0.58820811219649527</v>
      </c>
      <c r="AA5">
        <v>0.64931703304116317</v>
      </c>
      <c r="AB5">
        <v>0.37455997973973515</v>
      </c>
      <c r="AC5">
        <v>0.38149621209058415</v>
      </c>
      <c r="AD5">
        <v>0.59827866625273762</v>
      </c>
      <c r="AE5">
        <v>0.598994295858571</v>
      </c>
    </row>
    <row r="6" spans="1:31" x14ac:dyDescent="0.25">
      <c r="A6" s="17">
        <v>4</v>
      </c>
      <c r="B6">
        <v>2.3403869560072348</v>
      </c>
      <c r="C6">
        <v>0.77468274504868551</v>
      </c>
      <c r="D6">
        <v>1.4843019460649678</v>
      </c>
      <c r="E6">
        <v>0.79601854396893079</v>
      </c>
      <c r="F6">
        <v>1.4664479942391129</v>
      </c>
      <c r="G6">
        <v>0.70951838000705336</v>
      </c>
      <c r="H6">
        <v>0.76503398339578121</v>
      </c>
      <c r="I6">
        <v>1.1150286991822229</v>
      </c>
      <c r="J6">
        <v>0.94320769525292425</v>
      </c>
      <c r="K6">
        <v>0.93169512080472605</v>
      </c>
      <c r="L6">
        <v>0.75805195057655284</v>
      </c>
      <c r="M6">
        <v>0.73859223124930939</v>
      </c>
      <c r="N6">
        <v>0.71872092351435901</v>
      </c>
      <c r="O6">
        <v>0.80286748457492463</v>
      </c>
      <c r="P6">
        <v>0.76136537019302819</v>
      </c>
      <c r="Q6">
        <v>8.981906166628624E-2</v>
      </c>
      <c r="R6">
        <v>0.73234778422641489</v>
      </c>
      <c r="S6">
        <v>2.1232273229805129E-2</v>
      </c>
      <c r="T6">
        <v>0.76350366436971051</v>
      </c>
      <c r="U6">
        <v>2.6209255119312016E-2</v>
      </c>
      <c r="V6">
        <v>0.75911772941555189</v>
      </c>
      <c r="W6">
        <v>0.71912045651480061</v>
      </c>
      <c r="X6">
        <v>0.53421216365054502</v>
      </c>
      <c r="Y6">
        <v>0.64646290994142752</v>
      </c>
      <c r="Z6">
        <v>0.73209598954802546</v>
      </c>
      <c r="AA6">
        <v>0.73325135723019697</v>
      </c>
      <c r="AB6">
        <v>0.74923193727391801</v>
      </c>
      <c r="AC6">
        <v>0.79235256339226434</v>
      </c>
      <c r="AD6">
        <v>0.787160836670317</v>
      </c>
      <c r="AE6">
        <v>0.78389863561846285</v>
      </c>
    </row>
    <row r="7" spans="1:31" x14ac:dyDescent="0.25">
      <c r="A7" s="17">
        <v>5</v>
      </c>
      <c r="B7">
        <v>1.5300955138766514</v>
      </c>
      <c r="C7">
        <v>1.1059230094053412</v>
      </c>
      <c r="D7">
        <v>1.1029936794338018</v>
      </c>
      <c r="E7">
        <v>0.87367141348254218</v>
      </c>
      <c r="F7">
        <v>1.030098907551398</v>
      </c>
      <c r="G7">
        <v>1.1285347120826634</v>
      </c>
      <c r="H7">
        <v>1.3641970555033156</v>
      </c>
      <c r="I7">
        <v>0.94379199685806481</v>
      </c>
      <c r="J7">
        <v>0.97308637092188088</v>
      </c>
      <c r="K7">
        <v>0.92520021802765295</v>
      </c>
      <c r="L7">
        <v>0.94396836698363484</v>
      </c>
      <c r="M7">
        <v>1.1358062376621876</v>
      </c>
      <c r="N7">
        <v>1.0314858046073634</v>
      </c>
      <c r="O7">
        <v>0.84014463171324461</v>
      </c>
      <c r="P7">
        <v>0.96378590278131782</v>
      </c>
      <c r="Q7">
        <v>0.14051968174606394</v>
      </c>
      <c r="R7">
        <v>0.4256594853216325</v>
      </c>
      <c r="S7">
        <v>0.27494395496368501</v>
      </c>
      <c r="T7">
        <v>0.57348880302390359</v>
      </c>
      <c r="U7">
        <v>0.41756695023524032</v>
      </c>
      <c r="V7">
        <v>0.39707032497538591</v>
      </c>
      <c r="W7">
        <v>0.18404527893072292</v>
      </c>
      <c r="X7">
        <v>0.60019615603113496</v>
      </c>
      <c r="Y7">
        <v>0.44958637403644719</v>
      </c>
      <c r="Z7">
        <v>0.50049546888165508</v>
      </c>
      <c r="AA7">
        <v>0.54787212850709954</v>
      </c>
      <c r="AB7">
        <v>0.25876528395938431</v>
      </c>
      <c r="AC7">
        <v>0.35596364751872889</v>
      </c>
      <c r="AD7">
        <v>0.57294359976154996</v>
      </c>
      <c r="AE7">
        <v>0.43952353642338016</v>
      </c>
    </row>
    <row r="8" spans="1:31" x14ac:dyDescent="0.25">
      <c r="A8" s="17">
        <v>6</v>
      </c>
      <c r="B8">
        <v>0.88766184521659675</v>
      </c>
      <c r="C8">
        <v>0.77669526979756787</v>
      </c>
      <c r="D8">
        <v>0.81453902526372746</v>
      </c>
      <c r="E8">
        <v>0.79316320293593012</v>
      </c>
      <c r="F8">
        <v>0.74265800318798614</v>
      </c>
      <c r="G8">
        <v>0.74815418865949679</v>
      </c>
      <c r="H8">
        <v>0.95710664742206242</v>
      </c>
      <c r="I8">
        <v>1.0098173102101193</v>
      </c>
      <c r="J8">
        <v>0.6548486306883573</v>
      </c>
      <c r="K8">
        <v>0.69840921944772716</v>
      </c>
      <c r="L8">
        <v>0.55246796966958478</v>
      </c>
      <c r="M8">
        <v>0.61634865751496537</v>
      </c>
      <c r="N8">
        <v>0.63853723115518768</v>
      </c>
      <c r="O8">
        <v>0.59513985751852205</v>
      </c>
      <c r="P8">
        <v>0.71035495633016688</v>
      </c>
      <c r="Q8">
        <v>0.65592790795718547</v>
      </c>
      <c r="R8">
        <v>0.69970837322282176</v>
      </c>
      <c r="S8">
        <v>0.66391241316185878</v>
      </c>
      <c r="T8">
        <v>0.75631036164890464</v>
      </c>
      <c r="U8">
        <v>0.84488454393011414</v>
      </c>
      <c r="V8">
        <v>0.74870324117826315</v>
      </c>
      <c r="W8">
        <v>0.58526073955989188</v>
      </c>
      <c r="X8">
        <v>0.56588104172083797</v>
      </c>
      <c r="Y8">
        <v>0.86538239353745938</v>
      </c>
      <c r="Z8">
        <v>0.83190287391962747</v>
      </c>
      <c r="AA8">
        <v>0.85521647777384191</v>
      </c>
      <c r="AB8">
        <v>0.82354052043119885</v>
      </c>
      <c r="AC8">
        <v>0.80482005614637542</v>
      </c>
      <c r="AD8">
        <v>0.85824051767508724</v>
      </c>
      <c r="AE8">
        <v>0.75291872099672452</v>
      </c>
    </row>
    <row r="9" spans="1:31" x14ac:dyDescent="0.25">
      <c r="A9" s="17">
        <v>7</v>
      </c>
      <c r="B9">
        <v>2.4924627879496679</v>
      </c>
      <c r="C9">
        <v>1.068198021691515</v>
      </c>
      <c r="D9">
        <v>1.5695492575898715</v>
      </c>
      <c r="E9">
        <v>1.121687102396653</v>
      </c>
      <c r="F9">
        <v>1.6157095613241157</v>
      </c>
      <c r="G9">
        <v>0.9387908738606715</v>
      </c>
      <c r="H9">
        <v>0.99856550733498028</v>
      </c>
      <c r="I9">
        <v>1.2448449702673823</v>
      </c>
      <c r="J9">
        <v>1.1263565321801232</v>
      </c>
      <c r="K9">
        <v>1.176829557624425</v>
      </c>
      <c r="L9">
        <v>1.159984980161417</v>
      </c>
      <c r="M9">
        <v>1.1751288387496068</v>
      </c>
      <c r="N9">
        <v>1.1076952910550733</v>
      </c>
      <c r="O9">
        <v>1.1437947442134233</v>
      </c>
      <c r="P9">
        <v>1.1396267685078962</v>
      </c>
      <c r="Q9">
        <v>2.9529424748337137E-2</v>
      </c>
      <c r="R9">
        <v>0.72916029667745474</v>
      </c>
      <c r="S9">
        <v>0.38085263323861052</v>
      </c>
      <c r="T9">
        <v>0.77584295271722681</v>
      </c>
      <c r="U9">
        <v>0.35919055981079651</v>
      </c>
      <c r="V9">
        <v>0.79168114481325691</v>
      </c>
      <c r="W9">
        <v>0.83167553946253148</v>
      </c>
      <c r="X9">
        <v>0.78766604296061171</v>
      </c>
      <c r="Y9">
        <v>0.79538639629409424</v>
      </c>
      <c r="Z9">
        <v>0.83118658634440479</v>
      </c>
      <c r="AA9">
        <v>0.75444528608240513</v>
      </c>
      <c r="AB9">
        <v>0.67880445292738989</v>
      </c>
      <c r="AC9">
        <v>0.72167308633276328</v>
      </c>
      <c r="AD9">
        <v>0.80283360815583715</v>
      </c>
      <c r="AE9">
        <v>0.77457306697741446</v>
      </c>
    </row>
    <row r="10" spans="1:31" x14ac:dyDescent="0.25">
      <c r="A10" s="17">
        <v>8</v>
      </c>
      <c r="B10">
        <v>1.088851564844284</v>
      </c>
      <c r="C10">
        <v>1.1218049414235562</v>
      </c>
      <c r="D10">
        <v>1.1448176141189477</v>
      </c>
      <c r="E10">
        <v>1.138050806129836</v>
      </c>
      <c r="F10">
        <v>1.2034739724873094</v>
      </c>
      <c r="G10">
        <v>1.1409102825212722</v>
      </c>
      <c r="H10">
        <v>1.2812486292790868</v>
      </c>
      <c r="I10">
        <v>1.3763855676260308</v>
      </c>
      <c r="J10">
        <v>1.0701618757726115</v>
      </c>
      <c r="K10">
        <v>1.1609660471587377</v>
      </c>
      <c r="L10">
        <v>1.1072723425520097</v>
      </c>
      <c r="M10">
        <v>1.155461947692084</v>
      </c>
      <c r="N10">
        <v>1.1444219816924377</v>
      </c>
      <c r="O10">
        <v>1.1338894434022895</v>
      </c>
      <c r="P10">
        <v>1.1493837848738107</v>
      </c>
      <c r="Q10">
        <v>0.54343269940121119</v>
      </c>
      <c r="R10">
        <v>0.51092857081652476</v>
      </c>
      <c r="S10">
        <v>0.47924370413922857</v>
      </c>
      <c r="T10">
        <v>0.50067866524587301</v>
      </c>
      <c r="U10">
        <v>0.52116531494738838</v>
      </c>
      <c r="V10">
        <v>0.49945331774248125</v>
      </c>
      <c r="W10">
        <v>0.30780786624036338</v>
      </c>
      <c r="X10">
        <v>0.23738330993726184</v>
      </c>
      <c r="Y10">
        <v>0.70763002066287684</v>
      </c>
      <c r="Z10">
        <v>0.61480499775174213</v>
      </c>
      <c r="AA10">
        <v>0.4765748999751469</v>
      </c>
      <c r="AB10">
        <v>0.51951841258437159</v>
      </c>
      <c r="AC10">
        <v>0.51261300188125047</v>
      </c>
      <c r="AD10">
        <v>0.4887480869226134</v>
      </c>
      <c r="AE10">
        <v>0.4805283193105257</v>
      </c>
    </row>
    <row r="11" spans="1:31" x14ac:dyDescent="0.25">
      <c r="A11" s="17">
        <v>9</v>
      </c>
      <c r="B11">
        <v>2.0277543901307427</v>
      </c>
      <c r="C11">
        <v>2.0471925150484953</v>
      </c>
      <c r="D11">
        <v>2.1719779217289097</v>
      </c>
      <c r="E11">
        <v>1.9736241625084889</v>
      </c>
      <c r="F11">
        <v>1.7734132184441203</v>
      </c>
      <c r="G11">
        <v>2.0567016986277853</v>
      </c>
      <c r="H11">
        <v>2.0252047956711889</v>
      </c>
      <c r="I11">
        <v>1.9239876991983775</v>
      </c>
      <c r="J11">
        <v>1.9561374363784489</v>
      </c>
      <c r="K11">
        <v>2.0079329436584157</v>
      </c>
      <c r="L11">
        <v>2.0804699743935662</v>
      </c>
      <c r="M11">
        <v>1.9646764334240256</v>
      </c>
      <c r="N11">
        <v>1.9770979466094365</v>
      </c>
      <c r="O11">
        <v>2.2648119559047464</v>
      </c>
      <c r="P11">
        <v>2.1548201781123177</v>
      </c>
      <c r="Q11">
        <v>1.5321995198910435E-2</v>
      </c>
      <c r="R11">
        <v>0.10297422508180261</v>
      </c>
      <c r="S11">
        <v>0.13180804162164547</v>
      </c>
      <c r="T11">
        <v>0.16114781982403378</v>
      </c>
      <c r="U11">
        <v>5.9129565200404473E-2</v>
      </c>
      <c r="V11">
        <v>0.10956223678851862</v>
      </c>
      <c r="W11">
        <v>2.7396325610782098E-2</v>
      </c>
      <c r="X11">
        <v>0.10747446489852884</v>
      </c>
      <c r="Y11">
        <v>6.5323159877817991E-2</v>
      </c>
      <c r="Z11">
        <v>6.5873899672434871E-2</v>
      </c>
      <c r="AA11">
        <v>5.4019732633722714E-2</v>
      </c>
      <c r="AB11">
        <v>4.6929471170985601E-2</v>
      </c>
      <c r="AC11">
        <v>8.1867351125828353E-2</v>
      </c>
      <c r="AD11">
        <v>0.14030568280766634</v>
      </c>
      <c r="AE11">
        <v>7.4394040600011896E-2</v>
      </c>
    </row>
    <row r="12" spans="1:31" x14ac:dyDescent="0.25">
      <c r="A12" s="20">
        <v>10</v>
      </c>
      <c r="B12">
        <v>0.73663206877291643</v>
      </c>
      <c r="C12">
        <v>0.71565168805915413</v>
      </c>
      <c r="D12">
        <v>0.51616258988738217</v>
      </c>
      <c r="E12">
        <v>0.96562102329954724</v>
      </c>
      <c r="F12">
        <v>0.53296245994128577</v>
      </c>
      <c r="G12">
        <v>0.48302047223021499</v>
      </c>
      <c r="H12">
        <v>0.95600003430151614</v>
      </c>
      <c r="I12">
        <v>0.71171248876682403</v>
      </c>
      <c r="J12">
        <v>0.65415058090721756</v>
      </c>
      <c r="K12">
        <v>0.51545585286553219</v>
      </c>
      <c r="L12">
        <v>0.56425514322467629</v>
      </c>
      <c r="M12">
        <v>0.64083497519694299</v>
      </c>
      <c r="N12">
        <v>0.7381919522063688</v>
      </c>
      <c r="O12">
        <v>0.53735187879451951</v>
      </c>
      <c r="P12">
        <v>0.56753377917133707</v>
      </c>
      <c r="Q12">
        <v>0.67637277916531247</v>
      </c>
      <c r="R12">
        <v>0.67296796737597342</v>
      </c>
      <c r="S12">
        <v>0.78284500406257351</v>
      </c>
      <c r="T12">
        <v>0.49350495193394128</v>
      </c>
      <c r="U12">
        <v>0.83550175588628839</v>
      </c>
      <c r="V12">
        <v>0.81217447228097117</v>
      </c>
      <c r="W12">
        <v>0.57468548287264276</v>
      </c>
      <c r="X12">
        <v>0.63994406363447287</v>
      </c>
      <c r="Y12">
        <v>0.66078679325260081</v>
      </c>
      <c r="Z12">
        <v>0.80617599596798462</v>
      </c>
      <c r="AA12">
        <v>0.77553280655477164</v>
      </c>
      <c r="AB12">
        <v>0.70423919235136556</v>
      </c>
      <c r="AC12">
        <v>0.62078444962936874</v>
      </c>
      <c r="AD12">
        <v>0.77015185955877308</v>
      </c>
      <c r="AE12">
        <v>0.78093196851665192</v>
      </c>
    </row>
    <row r="14" spans="1:31" x14ac:dyDescent="0.25">
      <c r="A14" s="7" t="s">
        <v>17</v>
      </c>
      <c r="B14" s="7">
        <f>AVERAGE(B3:B12)</f>
        <v>1.4597682924080775</v>
      </c>
      <c r="C14" s="8">
        <f t="shared" ref="C14:AE14" si="0">AVERAGE(C3:C12)</f>
        <v>1.0910810807222378</v>
      </c>
      <c r="D14" s="8">
        <f t="shared" si="0"/>
        <v>1.1803013769385859</v>
      </c>
      <c r="E14" s="8">
        <f t="shared" si="0"/>
        <v>1.0876651398886765</v>
      </c>
      <c r="F14" s="8">
        <f t="shared" si="0"/>
        <v>1.1636197030481177</v>
      </c>
      <c r="G14" s="8">
        <f t="shared" si="0"/>
        <v>1.0350569870718251</v>
      </c>
      <c r="H14" s="8">
        <f t="shared" si="0"/>
        <v>1.1852865980286249</v>
      </c>
      <c r="I14" s="8">
        <f t="shared" si="0"/>
        <v>1.1642847986370173</v>
      </c>
      <c r="J14" s="8">
        <f t="shared" si="0"/>
        <v>1.0830620431631792</v>
      </c>
      <c r="K14" s="8">
        <f t="shared" si="0"/>
        <v>1.0848362231784843</v>
      </c>
      <c r="L14" s="8">
        <f t="shared" si="0"/>
        <v>1.0327670616862337</v>
      </c>
      <c r="M14" s="8">
        <f t="shared" si="0"/>
        <v>1.1022190623508339</v>
      </c>
      <c r="N14" s="8">
        <f t="shared" si="0"/>
        <v>1.0924969194632583</v>
      </c>
      <c r="O14" s="8">
        <f t="shared" si="0"/>
        <v>1.0550027712678207</v>
      </c>
      <c r="P14" s="9">
        <f t="shared" si="0"/>
        <v>1.0669001185891713</v>
      </c>
      <c r="Q14" s="8">
        <f t="shared" si="0"/>
        <v>0.32239920907959818</v>
      </c>
      <c r="R14" s="8">
        <f t="shared" si="0"/>
        <v>0.5115606971042379</v>
      </c>
      <c r="S14" s="8">
        <f t="shared" si="0"/>
        <v>0.41907249511050493</v>
      </c>
      <c r="T14" s="8">
        <f t="shared" si="0"/>
        <v>0.53035284353120393</v>
      </c>
      <c r="U14" s="8">
        <f t="shared" si="0"/>
        <v>0.43306793158697199</v>
      </c>
      <c r="V14" s="8">
        <f t="shared" si="0"/>
        <v>0.54821946991047343</v>
      </c>
      <c r="W14" s="8">
        <f t="shared" si="0"/>
        <v>0.42838212689372845</v>
      </c>
      <c r="X14" s="8">
        <f t="shared" si="0"/>
        <v>0.46091445252921154</v>
      </c>
      <c r="Y14" s="8">
        <f t="shared" si="0"/>
        <v>0.52092223391474946</v>
      </c>
      <c r="Z14" s="8">
        <f t="shared" si="0"/>
        <v>0.53943858303507852</v>
      </c>
      <c r="AA14" s="8">
        <f t="shared" si="0"/>
        <v>0.55293283960834372</v>
      </c>
      <c r="AB14" s="8">
        <f t="shared" si="0"/>
        <v>0.46264469853138934</v>
      </c>
      <c r="AC14" s="8">
        <f t="shared" si="0"/>
        <v>0.47617647731929952</v>
      </c>
      <c r="AD14" s="8">
        <f t="shared" si="0"/>
        <v>0.5660505172268625</v>
      </c>
      <c r="AE14" s="9">
        <f t="shared" si="0"/>
        <v>0.53588971263829799</v>
      </c>
    </row>
    <row r="15" spans="1:31" x14ac:dyDescent="0.25">
      <c r="A15" s="10" t="s">
        <v>19</v>
      </c>
      <c r="B15" s="10">
        <f>MEDIAN(B3:B12)</f>
        <v>1.1875782113408462</v>
      </c>
      <c r="C15" s="11">
        <f t="shared" ref="C15:AE15" si="1">MEDIAN(C3:C12)</f>
        <v>1.0603866118738416</v>
      </c>
      <c r="D15" s="11">
        <f t="shared" si="1"/>
        <v>1.0931133823613872</v>
      </c>
      <c r="E15" s="11">
        <f t="shared" si="1"/>
        <v>1.0518772513947963</v>
      </c>
      <c r="F15" s="11">
        <f t="shared" si="1"/>
        <v>1.1159879752818624</v>
      </c>
      <c r="G15" s="11">
        <f t="shared" si="1"/>
        <v>1.0262747173726221</v>
      </c>
      <c r="H15" s="11">
        <f t="shared" si="1"/>
        <v>1.0720256675703308</v>
      </c>
      <c r="I15" s="11">
        <f t="shared" si="1"/>
        <v>1.1249420982957372</v>
      </c>
      <c r="J15" s="11">
        <f t="shared" si="1"/>
        <v>1.039440497128405</v>
      </c>
      <c r="K15" s="11">
        <f t="shared" si="1"/>
        <v>1.0755482198431823</v>
      </c>
      <c r="L15" s="11">
        <f t="shared" si="1"/>
        <v>0.96657348775249641</v>
      </c>
      <c r="M15" s="11">
        <f t="shared" si="1"/>
        <v>1.1456340926771358</v>
      </c>
      <c r="N15" s="11">
        <f t="shared" si="1"/>
        <v>1.1123130869361979</v>
      </c>
      <c r="O15" s="11">
        <f t="shared" si="1"/>
        <v>1.0285562071616465</v>
      </c>
      <c r="P15" s="12">
        <f t="shared" si="1"/>
        <v>1.0413700811755859</v>
      </c>
      <c r="Q15" s="11">
        <f t="shared" si="1"/>
        <v>0.33014954594296597</v>
      </c>
      <c r="R15" s="11">
        <f t="shared" si="1"/>
        <v>0.53601823873300436</v>
      </c>
      <c r="S15" s="11">
        <f t="shared" si="1"/>
        <v>0.37658279089821817</v>
      </c>
      <c r="T15" s="11">
        <f t="shared" si="1"/>
        <v>0.5370837341348883</v>
      </c>
      <c r="U15" s="11">
        <f t="shared" si="1"/>
        <v>0.39438699952088413</v>
      </c>
      <c r="V15" s="11">
        <f t="shared" si="1"/>
        <v>0.55546686326070627</v>
      </c>
      <c r="W15" s="11">
        <f t="shared" si="1"/>
        <v>0.44009015347340447</v>
      </c>
      <c r="X15" s="11">
        <f t="shared" si="1"/>
        <v>0.5500466026856915</v>
      </c>
      <c r="Y15" s="11">
        <f t="shared" si="1"/>
        <v>0.63770067428964738</v>
      </c>
      <c r="Z15" s="11">
        <f t="shared" si="1"/>
        <v>0.60150655497411876</v>
      </c>
      <c r="AA15" s="11">
        <f t="shared" si="1"/>
        <v>0.5985945807741313</v>
      </c>
      <c r="AB15" s="11">
        <f t="shared" si="1"/>
        <v>0.44703919616205334</v>
      </c>
      <c r="AC15" s="11">
        <f t="shared" si="1"/>
        <v>0.44705460698591731</v>
      </c>
      <c r="AD15" s="11">
        <f t="shared" si="1"/>
        <v>0.58561113300714385</v>
      </c>
      <c r="AE15" s="12">
        <f t="shared" si="1"/>
        <v>0.53976130758454832</v>
      </c>
    </row>
  </sheetData>
  <mergeCells count="2">
    <mergeCell ref="B1:P1"/>
    <mergeCell ref="Q1:A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"/>
  <sheetViews>
    <sheetView zoomScale="90" zoomScaleNormal="90" workbookViewId="0">
      <selection activeCell="B3" sqref="B3:AE12"/>
    </sheetView>
  </sheetViews>
  <sheetFormatPr defaultRowHeight="15" x14ac:dyDescent="0.25"/>
  <sheetData>
    <row r="1" spans="1:31" x14ac:dyDescent="0.25">
      <c r="A1" s="13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5"/>
      <c r="Q1" s="16" t="s">
        <v>1</v>
      </c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5"/>
    </row>
    <row r="2" spans="1:31" x14ac:dyDescent="0.25">
      <c r="A2" s="17"/>
      <c r="B2" s="18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7</v>
      </c>
      <c r="H2" s="18" t="s">
        <v>8</v>
      </c>
      <c r="I2" s="18" t="s">
        <v>9</v>
      </c>
      <c r="J2" s="18" t="s">
        <v>10</v>
      </c>
      <c r="K2" s="18" t="s">
        <v>11</v>
      </c>
      <c r="L2" s="18" t="s">
        <v>12</v>
      </c>
      <c r="M2" s="18" t="s">
        <v>13</v>
      </c>
      <c r="N2" s="18" t="s">
        <v>14</v>
      </c>
      <c r="O2" s="18" t="s">
        <v>15</v>
      </c>
      <c r="P2" s="19" t="s">
        <v>16</v>
      </c>
      <c r="Q2" s="10" t="s">
        <v>2</v>
      </c>
      <c r="R2" s="11" t="s">
        <v>3</v>
      </c>
      <c r="S2" s="11" t="s">
        <v>4</v>
      </c>
      <c r="T2" s="11" t="s">
        <v>5</v>
      </c>
      <c r="U2" s="11" t="s">
        <v>6</v>
      </c>
      <c r="V2" s="11" t="s">
        <v>7</v>
      </c>
      <c r="W2" s="11" t="s">
        <v>8</v>
      </c>
      <c r="X2" s="11" t="s">
        <v>9</v>
      </c>
      <c r="Y2" s="11" t="s">
        <v>10</v>
      </c>
      <c r="Z2" s="11" t="s">
        <v>11</v>
      </c>
      <c r="AA2" s="11" t="s">
        <v>12</v>
      </c>
      <c r="AB2" s="11" t="s">
        <v>13</v>
      </c>
      <c r="AC2" s="11" t="s">
        <v>14</v>
      </c>
      <c r="AD2" s="11" t="s">
        <v>15</v>
      </c>
      <c r="AE2" s="12" t="s">
        <v>16</v>
      </c>
    </row>
    <row r="3" spans="1:31" x14ac:dyDescent="0.25">
      <c r="A3" s="17">
        <v>1</v>
      </c>
      <c r="B3">
        <v>0.65057797792154015</v>
      </c>
      <c r="C3">
        <v>0.88584448451886855</v>
      </c>
      <c r="D3">
        <v>0.887731463211755</v>
      </c>
      <c r="E3">
        <v>0.76882269329486297</v>
      </c>
      <c r="F3">
        <v>0.78328952445317646</v>
      </c>
      <c r="G3">
        <v>0.73070421020279008</v>
      </c>
      <c r="H3">
        <v>1.0914134574254311</v>
      </c>
      <c r="I3">
        <v>0.69720131000068175</v>
      </c>
      <c r="J3">
        <v>0.80542083488059202</v>
      </c>
      <c r="K3">
        <v>0.8784331666219215</v>
      </c>
      <c r="L3">
        <v>0.84182319395281369</v>
      </c>
      <c r="M3">
        <v>0.88453617186348954</v>
      </c>
      <c r="N3">
        <v>0.78579229417024266</v>
      </c>
      <c r="O3">
        <v>0.76347715196936305</v>
      </c>
      <c r="P3">
        <v>0.83415533682527221</v>
      </c>
      <c r="Q3">
        <v>0.74023943031829931</v>
      </c>
      <c r="R3">
        <v>0.44718156058576086</v>
      </c>
      <c r="S3">
        <v>0.47666031123821412</v>
      </c>
      <c r="T3">
        <v>0.56820450801859068</v>
      </c>
      <c r="U3">
        <v>0.59598294485244807</v>
      </c>
      <c r="V3">
        <v>0.61265024639407395</v>
      </c>
      <c r="W3">
        <v>0.48040181262074444</v>
      </c>
      <c r="X3">
        <v>0.64599147189457107</v>
      </c>
      <c r="Y3">
        <v>0.50203800397308773</v>
      </c>
      <c r="Z3">
        <v>0.43745370207981837</v>
      </c>
      <c r="AA3">
        <v>0.5124307916176557</v>
      </c>
      <c r="AB3">
        <v>0.49364447216648549</v>
      </c>
      <c r="AC3">
        <v>0.53410261125033986</v>
      </c>
      <c r="AD3">
        <v>0.5670525387802593</v>
      </c>
      <c r="AE3">
        <v>0.52665896393903122</v>
      </c>
    </row>
    <row r="4" spans="1:31" x14ac:dyDescent="0.25">
      <c r="A4" s="17">
        <v>2</v>
      </c>
      <c r="B4">
        <v>0.8374124646428226</v>
      </c>
      <c r="C4">
        <v>0.70659948886916613</v>
      </c>
      <c r="D4">
        <v>0.60635006862022378</v>
      </c>
      <c r="E4">
        <v>0.76493941899631279</v>
      </c>
      <c r="F4">
        <v>0.7745889844036643</v>
      </c>
      <c r="G4">
        <v>0.74756261265389445</v>
      </c>
      <c r="H4">
        <v>0.76012517724862272</v>
      </c>
      <c r="I4">
        <v>0.79379553541256243</v>
      </c>
      <c r="J4">
        <v>0.82819811849555869</v>
      </c>
      <c r="K4">
        <v>0.6741653368743582</v>
      </c>
      <c r="L4">
        <v>0.70179958909547913</v>
      </c>
      <c r="M4">
        <v>0.85214367499554711</v>
      </c>
      <c r="N4">
        <v>0.71512546134984833</v>
      </c>
      <c r="O4">
        <v>0.67793825041149569</v>
      </c>
      <c r="P4">
        <v>0.72052186076320168</v>
      </c>
      <c r="Q4">
        <v>0.71151347237691387</v>
      </c>
      <c r="R4">
        <v>0.74665612486704558</v>
      </c>
      <c r="S4">
        <v>0.8319263616138115</v>
      </c>
      <c r="T4">
        <v>0.69952081593357907</v>
      </c>
      <c r="U4">
        <v>0.823251157248022</v>
      </c>
      <c r="V4">
        <v>0.720016567125361</v>
      </c>
      <c r="W4">
        <v>0.70224479181333621</v>
      </c>
      <c r="X4">
        <v>0.69782672748425822</v>
      </c>
      <c r="Y4">
        <v>0.62460636233766775</v>
      </c>
      <c r="Z4">
        <v>0.75368481807929188</v>
      </c>
      <c r="AA4">
        <v>0.72838211164906652</v>
      </c>
      <c r="AB4">
        <v>0.63486482329271599</v>
      </c>
      <c r="AC4">
        <v>0.72167754714839016</v>
      </c>
      <c r="AD4">
        <v>0.75468255169532161</v>
      </c>
      <c r="AE4">
        <v>0.75927133553561843</v>
      </c>
    </row>
    <row r="5" spans="1:31" x14ac:dyDescent="0.25">
      <c r="A5" s="17">
        <v>3</v>
      </c>
      <c r="B5">
        <v>2.2621783811027103</v>
      </c>
      <c r="C5">
        <v>0.71325677904503104</v>
      </c>
      <c r="D5">
        <v>1.4117230571256911</v>
      </c>
      <c r="E5">
        <v>0.64589332070676753</v>
      </c>
      <c r="F5">
        <v>1.401936566582427</v>
      </c>
      <c r="G5">
        <v>0.58578090771865565</v>
      </c>
      <c r="H5">
        <v>1.204191009186921</v>
      </c>
      <c r="I5">
        <v>1.1484753906188983</v>
      </c>
      <c r="J5">
        <v>0.88193477412871157</v>
      </c>
      <c r="K5">
        <v>0.90951076124314045</v>
      </c>
      <c r="L5">
        <v>0.6876642523159886</v>
      </c>
      <c r="M5">
        <v>0.8024535557854855</v>
      </c>
      <c r="N5">
        <v>0.86886986327850924</v>
      </c>
      <c r="O5">
        <v>0.65800678947958491</v>
      </c>
      <c r="P5">
        <v>0.66723312359099796</v>
      </c>
      <c r="Q5">
        <v>1.7093980091295497E-2</v>
      </c>
      <c r="R5">
        <v>0.83383508313029808</v>
      </c>
      <c r="S5">
        <v>0.33604873841654309</v>
      </c>
      <c r="T5">
        <v>0.86098571023646708</v>
      </c>
      <c r="U5">
        <v>0.295550336067053</v>
      </c>
      <c r="V5">
        <v>0.88464327260982545</v>
      </c>
      <c r="W5">
        <v>0.59262274221890565</v>
      </c>
      <c r="X5">
        <v>0.48381561370587073</v>
      </c>
      <c r="Y5">
        <v>0.74528823989993942</v>
      </c>
      <c r="Z5">
        <v>0.75991358496005612</v>
      </c>
      <c r="AA5">
        <v>0.84409472155031751</v>
      </c>
      <c r="AB5">
        <v>0.81215280272441792</v>
      </c>
      <c r="AC5">
        <v>0.75982387534209861</v>
      </c>
      <c r="AD5">
        <v>0.87204495212756783</v>
      </c>
      <c r="AE5">
        <v>0.86541479931827325</v>
      </c>
    </row>
    <row r="6" spans="1:31" x14ac:dyDescent="0.25">
      <c r="A6" s="17">
        <v>4</v>
      </c>
      <c r="B6">
        <v>1.6695665013839016</v>
      </c>
      <c r="C6">
        <v>1.0712093304833483</v>
      </c>
      <c r="D6">
        <v>1.253132612719021</v>
      </c>
      <c r="E6">
        <v>1.3170540759926426</v>
      </c>
      <c r="F6">
        <v>1.2882468095625155</v>
      </c>
      <c r="G6">
        <v>1.0854762295166809</v>
      </c>
      <c r="H6">
        <v>1.0369216755449355</v>
      </c>
      <c r="I6">
        <v>1.166811610043941</v>
      </c>
      <c r="J6">
        <v>1.2744985428517561</v>
      </c>
      <c r="K6">
        <v>1.2155148397328392</v>
      </c>
      <c r="L6">
        <v>1.1356627524195215</v>
      </c>
      <c r="M6">
        <v>1.2480398496857315</v>
      </c>
      <c r="N6">
        <v>1.0805207360634426</v>
      </c>
      <c r="O6">
        <v>1.0305605285760755</v>
      </c>
      <c r="P6">
        <v>1.1192786742187653</v>
      </c>
      <c r="Q6">
        <v>0.23587893534376234</v>
      </c>
      <c r="R6">
        <v>0.6603793599867247</v>
      </c>
      <c r="S6">
        <v>0.49829136962156406</v>
      </c>
      <c r="T6">
        <v>0.3736324050057459</v>
      </c>
      <c r="U6">
        <v>0.5419262471470313</v>
      </c>
      <c r="V6">
        <v>0.58884439863252802</v>
      </c>
      <c r="W6">
        <v>0.61733789109746884</v>
      </c>
      <c r="X6">
        <v>0.59018432755482664</v>
      </c>
      <c r="Y6">
        <v>0.47733983570194871</v>
      </c>
      <c r="Z6">
        <v>0.57539550831721409</v>
      </c>
      <c r="AA6">
        <v>0.53983454791338026</v>
      </c>
      <c r="AB6">
        <v>0.47685393333052184</v>
      </c>
      <c r="AC6">
        <v>0.62311524831996279</v>
      </c>
      <c r="AD6">
        <v>0.64450128729753664</v>
      </c>
      <c r="AE6">
        <v>0.57631843524254878</v>
      </c>
    </row>
    <row r="7" spans="1:31" x14ac:dyDescent="0.25">
      <c r="A7" s="17">
        <v>5</v>
      </c>
      <c r="B7">
        <v>1.2207015244527426</v>
      </c>
      <c r="C7">
        <v>1.048549608362507</v>
      </c>
      <c r="D7">
        <v>1.2802490594113256</v>
      </c>
      <c r="E7">
        <v>1.2091764478920493</v>
      </c>
      <c r="F7">
        <v>1.1415235531019863</v>
      </c>
      <c r="G7">
        <v>1.1775911152583551</v>
      </c>
      <c r="H7">
        <v>1.2273505034519139</v>
      </c>
      <c r="I7">
        <v>1.1610633374357748</v>
      </c>
      <c r="J7">
        <v>1.1075077791068786</v>
      </c>
      <c r="K7">
        <v>1.1153227898800195</v>
      </c>
      <c r="L7">
        <v>1.0687476282712867</v>
      </c>
      <c r="M7">
        <v>1.0773467873618581</v>
      </c>
      <c r="N7">
        <v>1.1763208353566854</v>
      </c>
      <c r="O7">
        <v>1.1152386241569188</v>
      </c>
      <c r="P7">
        <v>1.1462163837122625</v>
      </c>
      <c r="Q7">
        <v>0.38428544746749221</v>
      </c>
      <c r="R7">
        <v>0.42770173104730069</v>
      </c>
      <c r="S7">
        <v>0.33339856080849067</v>
      </c>
      <c r="T7">
        <v>0.28653351396611737</v>
      </c>
      <c r="U7">
        <v>0.40288966489571221</v>
      </c>
      <c r="V7">
        <v>0.35392507481433583</v>
      </c>
      <c r="W7">
        <v>0.33805520011205714</v>
      </c>
      <c r="X7">
        <v>0.43298110884410385</v>
      </c>
      <c r="Y7">
        <v>0.40880220020665975</v>
      </c>
      <c r="Z7">
        <v>0.41033521740530376</v>
      </c>
      <c r="AA7">
        <v>0.43281037249387211</v>
      </c>
      <c r="AB7">
        <v>0.3939903740184843</v>
      </c>
      <c r="AC7">
        <v>0.29543242862492308</v>
      </c>
      <c r="AD7">
        <v>0.36727703181205024</v>
      </c>
      <c r="AE7">
        <v>0.39070261304201748</v>
      </c>
    </row>
    <row r="8" spans="1:31" x14ac:dyDescent="0.25">
      <c r="A8" s="17">
        <v>6</v>
      </c>
      <c r="B8">
        <v>1.1908594403910435</v>
      </c>
      <c r="C8">
        <v>1.1773037515454028</v>
      </c>
      <c r="D8">
        <v>0.98557897507281644</v>
      </c>
      <c r="E8">
        <v>1.0267998828830605</v>
      </c>
      <c r="F8">
        <v>0.89269562746502051</v>
      </c>
      <c r="G8">
        <v>1.0715022948717066</v>
      </c>
      <c r="H8">
        <v>1.0687173828250853</v>
      </c>
      <c r="I8">
        <v>0.9861090203420716</v>
      </c>
      <c r="J8">
        <v>0.91890298090961875</v>
      </c>
      <c r="K8">
        <v>0.91510452315996849</v>
      </c>
      <c r="L8">
        <v>1.1825216859831789</v>
      </c>
      <c r="M8">
        <v>1.0052868326850386</v>
      </c>
      <c r="N8">
        <v>0.92860949663089443</v>
      </c>
      <c r="O8">
        <v>1.0086563244348064</v>
      </c>
      <c r="P8">
        <v>0.89317573941633477</v>
      </c>
      <c r="Q8">
        <v>0.49562348942739831</v>
      </c>
      <c r="R8">
        <v>0.11296911880979425</v>
      </c>
      <c r="S8">
        <v>2.8128565019733948E-2</v>
      </c>
      <c r="T8">
        <v>3.4037639843314357E-2</v>
      </c>
      <c r="U8">
        <v>0.15521463227792451</v>
      </c>
      <c r="V8">
        <v>1.4203456426741951E-2</v>
      </c>
      <c r="W8">
        <v>0.18343091456377594</v>
      </c>
      <c r="X8">
        <v>0.23557035074600588</v>
      </c>
      <c r="Y8">
        <v>0.25308656742982588</v>
      </c>
      <c r="Z8">
        <v>0.24711124192693934</v>
      </c>
      <c r="AA8">
        <v>0.17080454258480637</v>
      </c>
      <c r="AB8">
        <v>0.25181099788211886</v>
      </c>
      <c r="AC8">
        <v>0.30063311771451795</v>
      </c>
      <c r="AD8">
        <v>0.14798726287607922</v>
      </c>
      <c r="AE8">
        <v>0.17500053701460569</v>
      </c>
    </row>
    <row r="9" spans="1:31" x14ac:dyDescent="0.25">
      <c r="A9" s="17">
        <v>7</v>
      </c>
      <c r="B9">
        <v>1.4737422413173209</v>
      </c>
      <c r="C9">
        <v>0.96176364792664459</v>
      </c>
      <c r="D9">
        <v>1.0516566067081576</v>
      </c>
      <c r="E9">
        <v>0.75054899134844399</v>
      </c>
      <c r="F9">
        <v>1.2375594926882978</v>
      </c>
      <c r="G9">
        <v>0.7133496475946538</v>
      </c>
      <c r="H9">
        <v>0.86688407170341031</v>
      </c>
      <c r="I9">
        <v>1.2534889974254528</v>
      </c>
      <c r="J9">
        <v>1.0967584302206586</v>
      </c>
      <c r="K9">
        <v>0.97732541817652374</v>
      </c>
      <c r="L9">
        <v>0.67632698102508093</v>
      </c>
      <c r="M9">
        <v>0.93806681752758592</v>
      </c>
      <c r="N9">
        <v>0.93618670849373509</v>
      </c>
      <c r="O9">
        <v>0.78910938467447822</v>
      </c>
      <c r="P9">
        <v>0.68706620196467727</v>
      </c>
      <c r="Q9">
        <v>0.42784665400306415</v>
      </c>
      <c r="R9">
        <v>0.79445338122544418</v>
      </c>
      <c r="S9">
        <v>0.71026692760154919</v>
      </c>
      <c r="T9">
        <v>0.85733081845234549</v>
      </c>
      <c r="U9">
        <v>0.68153912327138733</v>
      </c>
      <c r="V9">
        <v>0.85526755346506034</v>
      </c>
      <c r="W9">
        <v>0.78367314752742234</v>
      </c>
      <c r="X9">
        <v>0.64458595498910021</v>
      </c>
      <c r="Y9">
        <v>0.73402960124942573</v>
      </c>
      <c r="Z9">
        <v>0.83597592806195375</v>
      </c>
      <c r="AA9">
        <v>0.88538433825942942</v>
      </c>
      <c r="AB9">
        <v>0.79515065143293506</v>
      </c>
      <c r="AC9">
        <v>0.78233937345076288</v>
      </c>
      <c r="AD9">
        <v>0.85775042230012799</v>
      </c>
      <c r="AE9">
        <v>0.88037348686165184</v>
      </c>
    </row>
    <row r="10" spans="1:31" x14ac:dyDescent="0.25">
      <c r="A10" s="17">
        <v>8</v>
      </c>
      <c r="B10">
        <v>0.98292045726955957</v>
      </c>
      <c r="C10">
        <v>0.70151822884731729</v>
      </c>
      <c r="D10">
        <v>0.81572203627022744</v>
      </c>
      <c r="E10">
        <v>0.69367400296054615</v>
      </c>
      <c r="F10">
        <v>0.66217842823563444</v>
      </c>
      <c r="G10">
        <v>0.74990103414901965</v>
      </c>
      <c r="H10">
        <v>1.0141099829329696</v>
      </c>
      <c r="I10">
        <v>0.78797422839543729</v>
      </c>
      <c r="J10">
        <v>0.82942225398781688</v>
      </c>
      <c r="K10">
        <v>0.68876107622052918</v>
      </c>
      <c r="L10">
        <v>0.85633027756598146</v>
      </c>
      <c r="M10">
        <v>0.63777630572916277</v>
      </c>
      <c r="N10">
        <v>0.68583174453275797</v>
      </c>
      <c r="O10">
        <v>0.68590365449742519</v>
      </c>
      <c r="P10">
        <v>0.82740038967795448</v>
      </c>
      <c r="Q10">
        <v>0.32364844092635936</v>
      </c>
      <c r="R10">
        <v>0.52460936024980886</v>
      </c>
      <c r="S10">
        <v>0.32151508652449912</v>
      </c>
      <c r="T10">
        <v>0.4855869241845101</v>
      </c>
      <c r="U10">
        <v>0.52312080029814811</v>
      </c>
      <c r="V10">
        <v>0.42850484384453802</v>
      </c>
      <c r="W10">
        <v>0.13458238720757038</v>
      </c>
      <c r="X10">
        <v>0.42542679394891236</v>
      </c>
      <c r="Y10">
        <v>0.3958999772148824</v>
      </c>
      <c r="Z10">
        <v>0.49047395405471023</v>
      </c>
      <c r="AA10">
        <v>0.39245600504005063</v>
      </c>
      <c r="AB10">
        <v>0.57564605787287837</v>
      </c>
      <c r="AC10">
        <v>0.53292211349957719</v>
      </c>
      <c r="AD10">
        <v>0.49847834092689969</v>
      </c>
      <c r="AE10">
        <v>0.3649251475474472</v>
      </c>
    </row>
    <row r="11" spans="1:31" x14ac:dyDescent="0.25">
      <c r="A11" s="17">
        <v>9</v>
      </c>
      <c r="B11">
        <v>0.78221089225183793</v>
      </c>
      <c r="C11">
        <v>0.77849344589544656</v>
      </c>
      <c r="D11">
        <v>0.77632650475573095</v>
      </c>
      <c r="E11">
        <v>0.73899835949738979</v>
      </c>
      <c r="F11">
        <v>0.7177489107074051</v>
      </c>
      <c r="G11">
        <v>0.75044843024948527</v>
      </c>
      <c r="H11">
        <v>0.76362537619573867</v>
      </c>
      <c r="I11">
        <v>0.80753740883420788</v>
      </c>
      <c r="J11">
        <v>0.81015809524587035</v>
      </c>
      <c r="K11">
        <v>0.81214411554092414</v>
      </c>
      <c r="L11">
        <v>0.76858482807581707</v>
      </c>
      <c r="M11">
        <v>0.81383420499550574</v>
      </c>
      <c r="N11">
        <v>0.85195271982932441</v>
      </c>
      <c r="O11">
        <v>0.72572032168534695</v>
      </c>
      <c r="P11">
        <v>0.78672546047308223</v>
      </c>
      <c r="Q11">
        <v>0.35433975896046294</v>
      </c>
      <c r="R11">
        <v>0.36743000267794923</v>
      </c>
      <c r="S11">
        <v>0.33454454978884007</v>
      </c>
      <c r="T11">
        <v>0.38943040207997437</v>
      </c>
      <c r="U11">
        <v>0.46830628141762248</v>
      </c>
      <c r="V11">
        <v>0.36878684926857541</v>
      </c>
      <c r="W11">
        <v>0.35721046549990321</v>
      </c>
      <c r="X11">
        <v>0.28874949868770455</v>
      </c>
      <c r="Y11">
        <v>0.36858888012008428</v>
      </c>
      <c r="Z11">
        <v>0.3196970717890239</v>
      </c>
      <c r="AA11">
        <v>0.35928479946694752</v>
      </c>
      <c r="AB11">
        <v>0.3344266802958038</v>
      </c>
      <c r="AC11">
        <v>0.29025902375818075</v>
      </c>
      <c r="AD11">
        <v>0.41199130480922835</v>
      </c>
      <c r="AE11">
        <v>0.32754015356020955</v>
      </c>
    </row>
    <row r="12" spans="1:31" x14ac:dyDescent="0.25">
      <c r="A12" s="20">
        <v>10</v>
      </c>
      <c r="B12">
        <v>1.1989107964625294</v>
      </c>
      <c r="C12">
        <v>0.99658626328548883</v>
      </c>
      <c r="D12">
        <v>0.85613227454801044</v>
      </c>
      <c r="E12">
        <v>0.96046021493283795</v>
      </c>
      <c r="F12">
        <v>0.9283691419553971</v>
      </c>
      <c r="G12">
        <v>0.92217812271775901</v>
      </c>
      <c r="H12">
        <v>1.1847066393924983</v>
      </c>
      <c r="I12">
        <v>0.90922256167929905</v>
      </c>
      <c r="J12">
        <v>0.83184279159992125</v>
      </c>
      <c r="K12">
        <v>0.79981365529941828</v>
      </c>
      <c r="L12">
        <v>0.87309840412583706</v>
      </c>
      <c r="M12">
        <v>1.0386100669294758</v>
      </c>
      <c r="N12">
        <v>1.0218212255438406</v>
      </c>
      <c r="O12">
        <v>0.86858394594041222</v>
      </c>
      <c r="P12">
        <v>0.85901314877232815</v>
      </c>
      <c r="Q12">
        <v>0.32706842465336161</v>
      </c>
      <c r="R12">
        <v>0.45898659003645148</v>
      </c>
      <c r="S12">
        <v>0.62194442847541465</v>
      </c>
      <c r="T12">
        <v>0.55486396501406721</v>
      </c>
      <c r="U12">
        <v>0.5625203998632391</v>
      </c>
      <c r="V12">
        <v>0.56152010268461272</v>
      </c>
      <c r="W12">
        <v>0.40050418906843194</v>
      </c>
      <c r="X12">
        <v>0.57110310828361877</v>
      </c>
      <c r="Y12">
        <v>0.6227397593878522</v>
      </c>
      <c r="Z12">
        <v>0.65790062991324871</v>
      </c>
      <c r="AA12">
        <v>0.59578517691415978</v>
      </c>
      <c r="AB12">
        <v>0.42411900290583876</v>
      </c>
      <c r="AC12">
        <v>0.43711710637255313</v>
      </c>
      <c r="AD12">
        <v>0.60575995658693493</v>
      </c>
      <c r="AE12">
        <v>0.62814241696967565</v>
      </c>
    </row>
    <row r="14" spans="1:31" x14ac:dyDescent="0.25">
      <c r="A14" t="s">
        <v>17</v>
      </c>
      <c r="B14">
        <f>AVERAGE(B3:B12)</f>
        <v>1.2269080677196009</v>
      </c>
      <c r="C14">
        <f t="shared" ref="C14:AE14" si="0">AVERAGE(C3:C12)</f>
        <v>0.904112502877922</v>
      </c>
      <c r="D14">
        <f t="shared" si="0"/>
        <v>0.99246026584429592</v>
      </c>
      <c r="E14">
        <f t="shared" si="0"/>
        <v>0.88763674085049116</v>
      </c>
      <c r="F14">
        <f t="shared" si="0"/>
        <v>0.98281370391555245</v>
      </c>
      <c r="G14">
        <f t="shared" si="0"/>
        <v>0.85344946049330006</v>
      </c>
      <c r="H14">
        <f t="shared" si="0"/>
        <v>1.0218045275907526</v>
      </c>
      <c r="I14">
        <f t="shared" si="0"/>
        <v>0.97116794001883266</v>
      </c>
      <c r="J14">
        <f t="shared" si="0"/>
        <v>0.93846446014273821</v>
      </c>
      <c r="K14">
        <f t="shared" si="0"/>
        <v>0.89860956827496419</v>
      </c>
      <c r="L14">
        <f t="shared" si="0"/>
        <v>0.87925595928309852</v>
      </c>
      <c r="M14">
        <f t="shared" si="0"/>
        <v>0.92980942675588807</v>
      </c>
      <c r="N14">
        <f t="shared" si="0"/>
        <v>0.90510310852492792</v>
      </c>
      <c r="O14">
        <f t="shared" si="0"/>
        <v>0.83231949758259061</v>
      </c>
      <c r="P14">
        <f t="shared" si="0"/>
        <v>0.8540786319414877</v>
      </c>
      <c r="Q14">
        <f t="shared" si="0"/>
        <v>0.40175380335684097</v>
      </c>
      <c r="R14">
        <f t="shared" si="0"/>
        <v>0.53742023126165772</v>
      </c>
      <c r="S14">
        <f t="shared" si="0"/>
        <v>0.44927248991086605</v>
      </c>
      <c r="T14">
        <f t="shared" si="0"/>
        <v>0.51101267027347119</v>
      </c>
      <c r="U14">
        <f t="shared" si="0"/>
        <v>0.50503015873385881</v>
      </c>
      <c r="V14">
        <f t="shared" si="0"/>
        <v>0.53883623652656532</v>
      </c>
      <c r="W14">
        <f t="shared" si="0"/>
        <v>0.45900635417296154</v>
      </c>
      <c r="X14">
        <f t="shared" si="0"/>
        <v>0.50162349561389719</v>
      </c>
      <c r="Y14">
        <f t="shared" si="0"/>
        <v>0.51324194275213741</v>
      </c>
      <c r="Z14">
        <f t="shared" si="0"/>
        <v>0.54879416565875605</v>
      </c>
      <c r="AA14">
        <f t="shared" si="0"/>
        <v>0.54612674074896861</v>
      </c>
      <c r="AB14">
        <f t="shared" si="0"/>
        <v>0.51926597959221998</v>
      </c>
      <c r="AC14">
        <f t="shared" si="0"/>
        <v>0.52774224454813068</v>
      </c>
      <c r="AD14">
        <f t="shared" si="0"/>
        <v>0.57275256492120064</v>
      </c>
      <c r="AE14">
        <f t="shared" si="0"/>
        <v>0.54943478890310793</v>
      </c>
    </row>
    <row r="15" spans="1:31" x14ac:dyDescent="0.25">
      <c r="A15" t="s">
        <v>19</v>
      </c>
      <c r="B15">
        <f>MEDIAN(B3:B12)</f>
        <v>1.1948851184267864</v>
      </c>
      <c r="C15">
        <f t="shared" ref="C15:AE15" si="1">MEDIAN(C3:C12)</f>
        <v>0.92380406622275657</v>
      </c>
      <c r="D15">
        <f t="shared" si="1"/>
        <v>0.93665521914228567</v>
      </c>
      <c r="E15">
        <f t="shared" si="1"/>
        <v>0.76688105614558788</v>
      </c>
      <c r="F15">
        <f t="shared" si="1"/>
        <v>0.91053238471020881</v>
      </c>
      <c r="G15">
        <f t="shared" si="1"/>
        <v>0.75017473219925246</v>
      </c>
      <c r="H15">
        <f t="shared" si="1"/>
        <v>1.0528195291850104</v>
      </c>
      <c r="I15">
        <f t="shared" si="1"/>
        <v>0.94766579101068538</v>
      </c>
      <c r="J15">
        <f t="shared" si="1"/>
        <v>0.85688878286431636</v>
      </c>
      <c r="K15">
        <f t="shared" si="1"/>
        <v>0.89397196393253098</v>
      </c>
      <c r="L15">
        <f t="shared" si="1"/>
        <v>0.84907673575939757</v>
      </c>
      <c r="M15">
        <f t="shared" si="1"/>
        <v>0.91130149469553778</v>
      </c>
      <c r="N15">
        <f t="shared" si="1"/>
        <v>0.89873967995470183</v>
      </c>
      <c r="O15">
        <f t="shared" si="1"/>
        <v>0.77629326832192058</v>
      </c>
      <c r="P15">
        <f t="shared" si="1"/>
        <v>0.8307778632516134</v>
      </c>
      <c r="Q15">
        <f t="shared" si="1"/>
        <v>0.36931260321397757</v>
      </c>
      <c r="R15">
        <f t="shared" si="1"/>
        <v>0.49179797514313017</v>
      </c>
      <c r="S15">
        <f t="shared" si="1"/>
        <v>0.4063545248273786</v>
      </c>
      <c r="T15">
        <f t="shared" si="1"/>
        <v>0.52022544459928866</v>
      </c>
      <c r="U15">
        <f t="shared" si="1"/>
        <v>0.53252352372258971</v>
      </c>
      <c r="V15">
        <f t="shared" si="1"/>
        <v>0.57518225065857043</v>
      </c>
      <c r="W15">
        <f t="shared" si="1"/>
        <v>0.44045300084458816</v>
      </c>
      <c r="X15">
        <f t="shared" si="1"/>
        <v>0.52745936099474477</v>
      </c>
      <c r="Y15">
        <f t="shared" si="1"/>
        <v>0.48968891983751822</v>
      </c>
      <c r="Z15">
        <f t="shared" si="1"/>
        <v>0.53293473118596213</v>
      </c>
      <c r="AA15">
        <f t="shared" si="1"/>
        <v>0.52613266976551798</v>
      </c>
      <c r="AB15">
        <f t="shared" si="1"/>
        <v>0.48524920274850369</v>
      </c>
      <c r="AC15">
        <f t="shared" si="1"/>
        <v>0.53351236237495847</v>
      </c>
      <c r="AD15">
        <f t="shared" si="1"/>
        <v>0.58640624768359717</v>
      </c>
      <c r="AE15">
        <f t="shared" si="1"/>
        <v>0.55148869959078994</v>
      </c>
    </row>
  </sheetData>
  <mergeCells count="2">
    <mergeCell ref="B1:P1"/>
    <mergeCell ref="Q1:A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"/>
  <sheetViews>
    <sheetView zoomScale="90" zoomScaleNormal="90" workbookViewId="0">
      <selection activeCell="B3" sqref="B3:AE12"/>
    </sheetView>
  </sheetViews>
  <sheetFormatPr defaultRowHeight="15" x14ac:dyDescent="0.25"/>
  <sheetData>
    <row r="1" spans="1:31" x14ac:dyDescent="0.25">
      <c r="A1" s="13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5"/>
      <c r="Q1" s="16" t="s">
        <v>1</v>
      </c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5"/>
    </row>
    <row r="2" spans="1:31" x14ac:dyDescent="0.25">
      <c r="A2" s="17"/>
      <c r="B2" s="18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7</v>
      </c>
      <c r="H2" s="18" t="s">
        <v>8</v>
      </c>
      <c r="I2" s="18" t="s">
        <v>9</v>
      </c>
      <c r="J2" s="18" t="s">
        <v>10</v>
      </c>
      <c r="K2" s="18" t="s">
        <v>11</v>
      </c>
      <c r="L2" s="18" t="s">
        <v>12</v>
      </c>
      <c r="M2" s="18" t="s">
        <v>13</v>
      </c>
      <c r="N2" s="18" t="s">
        <v>14</v>
      </c>
      <c r="O2" s="18" t="s">
        <v>15</v>
      </c>
      <c r="P2" s="19" t="s">
        <v>16</v>
      </c>
      <c r="Q2" s="10" t="s">
        <v>2</v>
      </c>
      <c r="R2" s="11" t="s">
        <v>3</v>
      </c>
      <c r="S2" s="11" t="s">
        <v>4</v>
      </c>
      <c r="T2" s="11" t="s">
        <v>5</v>
      </c>
      <c r="U2" s="11" t="s">
        <v>6</v>
      </c>
      <c r="V2" s="11" t="s">
        <v>7</v>
      </c>
      <c r="W2" s="11" t="s">
        <v>8</v>
      </c>
      <c r="X2" s="11" t="s">
        <v>9</v>
      </c>
      <c r="Y2" s="11" t="s">
        <v>10</v>
      </c>
      <c r="Z2" s="11" t="s">
        <v>11</v>
      </c>
      <c r="AA2" s="11" t="s">
        <v>12</v>
      </c>
      <c r="AB2" s="11" t="s">
        <v>13</v>
      </c>
      <c r="AC2" s="11" t="s">
        <v>14</v>
      </c>
      <c r="AD2" s="11" t="s">
        <v>15</v>
      </c>
      <c r="AE2" s="12" t="s">
        <v>16</v>
      </c>
    </row>
    <row r="3" spans="1:31" x14ac:dyDescent="0.25">
      <c r="A3" s="17">
        <v>1</v>
      </c>
      <c r="B3">
        <v>0.92611868397283914</v>
      </c>
      <c r="C3">
        <v>0.72721920934148176</v>
      </c>
      <c r="D3">
        <v>0.66917446200586073</v>
      </c>
      <c r="E3">
        <v>0.79508633898249259</v>
      </c>
      <c r="F3">
        <v>0.82525163044280014</v>
      </c>
      <c r="G3">
        <v>0.74779749626503167</v>
      </c>
      <c r="H3">
        <v>0.86159210487784377</v>
      </c>
      <c r="I3">
        <v>0.88766859144657695</v>
      </c>
      <c r="J3">
        <v>0.73130846402458649</v>
      </c>
      <c r="K3">
        <v>0.77456946410791105</v>
      </c>
      <c r="L3">
        <v>0.6159624878302925</v>
      </c>
      <c r="M3">
        <v>0.84022808869437349</v>
      </c>
      <c r="N3">
        <v>0.80423097066483329</v>
      </c>
      <c r="O3">
        <v>0.71679992534696646</v>
      </c>
      <c r="P3">
        <v>0.67993289325522166</v>
      </c>
      <c r="Q3">
        <v>0.62280634219866238</v>
      </c>
      <c r="R3">
        <v>0.7941187934515278</v>
      </c>
      <c r="S3">
        <v>0.80926216708433429</v>
      </c>
      <c r="T3">
        <v>0.77577544646903185</v>
      </c>
      <c r="U3">
        <v>0.86581949169284655</v>
      </c>
      <c r="V3">
        <v>0.79513551748785749</v>
      </c>
      <c r="W3">
        <v>0.71924839176638999</v>
      </c>
      <c r="X3">
        <v>0.75838974480323262</v>
      </c>
      <c r="Y3">
        <v>0.81002848136111649</v>
      </c>
      <c r="Z3">
        <v>0.82675237956944525</v>
      </c>
      <c r="AA3">
        <v>0.83452213291531785</v>
      </c>
      <c r="AB3">
        <v>0.68529525016577453</v>
      </c>
      <c r="AC3">
        <v>0.71407606914225386</v>
      </c>
      <c r="AD3">
        <v>0.82444357106262534</v>
      </c>
      <c r="AE3">
        <v>0.84049279620282857</v>
      </c>
    </row>
    <row r="4" spans="1:31" x14ac:dyDescent="0.25">
      <c r="A4" s="17">
        <v>2</v>
      </c>
      <c r="B4">
        <v>1.2923354860233052</v>
      </c>
      <c r="C4">
        <v>1.3476411986857368</v>
      </c>
      <c r="D4">
        <v>1.1258998652960515</v>
      </c>
      <c r="E4">
        <v>1.2090602458953055</v>
      </c>
      <c r="F4">
        <v>1.2458919570312872</v>
      </c>
      <c r="G4">
        <v>1.1453506592205724</v>
      </c>
      <c r="H4">
        <v>1.1599239155525818</v>
      </c>
      <c r="I4">
        <v>1.2446449928382524</v>
      </c>
      <c r="J4">
        <v>1.2826853338135975</v>
      </c>
      <c r="K4">
        <v>1.2364948889239291</v>
      </c>
      <c r="L4">
        <v>1.2190302811005831</v>
      </c>
      <c r="M4">
        <v>1.3997857765978936</v>
      </c>
      <c r="N4">
        <v>1.3763175704148463</v>
      </c>
      <c r="O4">
        <v>1.1159976439456911</v>
      </c>
      <c r="P4">
        <v>1.1165347293671239</v>
      </c>
      <c r="Q4">
        <v>0.32027790443082788</v>
      </c>
      <c r="R4">
        <v>0.2974389874655658</v>
      </c>
      <c r="S4">
        <v>0.34052877779433183</v>
      </c>
      <c r="T4">
        <v>0.25585271788703051</v>
      </c>
      <c r="U4">
        <v>0.19590700593208588</v>
      </c>
      <c r="V4">
        <v>0.33140104970776119</v>
      </c>
      <c r="W4">
        <v>0.46450612039885381</v>
      </c>
      <c r="X4">
        <v>0.20546005374394827</v>
      </c>
      <c r="Y4">
        <v>0.16059334591913277</v>
      </c>
      <c r="Z4">
        <v>0.22414501386745894</v>
      </c>
      <c r="AA4">
        <v>0.3837711891875315</v>
      </c>
      <c r="AB4">
        <v>0.24806026636133638</v>
      </c>
      <c r="AC4">
        <v>0.26434223641593907</v>
      </c>
      <c r="AD4">
        <v>0.40172691552079026</v>
      </c>
      <c r="AE4">
        <v>0.40909838966923778</v>
      </c>
    </row>
    <row r="5" spans="1:31" x14ac:dyDescent="0.25">
      <c r="A5" s="17">
        <v>3</v>
      </c>
      <c r="B5">
        <v>1.2092281783702929</v>
      </c>
      <c r="C5">
        <v>0.8583024021504041</v>
      </c>
      <c r="D5">
        <v>0.83272300136443023</v>
      </c>
      <c r="E5">
        <v>0.92136824859027333</v>
      </c>
      <c r="F5">
        <v>0.95829373263368467</v>
      </c>
      <c r="G5">
        <v>0.88669280279474472</v>
      </c>
      <c r="H5">
        <v>1.0815691138337165</v>
      </c>
      <c r="I5">
        <v>0.90416506321493184</v>
      </c>
      <c r="J5">
        <v>0.90408895451239069</v>
      </c>
      <c r="K5">
        <v>0.82848704828175512</v>
      </c>
      <c r="L5">
        <v>0.58807551153801008</v>
      </c>
      <c r="M5">
        <v>0.7244508644774702</v>
      </c>
      <c r="N5">
        <v>0.75735465003132918</v>
      </c>
      <c r="O5">
        <v>0.75406756263761321</v>
      </c>
      <c r="P5">
        <v>0.78151175553538543</v>
      </c>
      <c r="Q5">
        <v>0.45724799602506383</v>
      </c>
      <c r="R5">
        <v>0.7295888865175898</v>
      </c>
      <c r="S5">
        <v>0.70664714324272482</v>
      </c>
      <c r="T5">
        <v>0.64759101987427248</v>
      </c>
      <c r="U5">
        <v>0.65801807065777929</v>
      </c>
      <c r="V5">
        <v>0.65114935992065104</v>
      </c>
      <c r="W5">
        <v>0.52636228741226854</v>
      </c>
      <c r="X5">
        <v>0.63681174173155519</v>
      </c>
      <c r="Y5">
        <v>0.60878480072251007</v>
      </c>
      <c r="Z5">
        <v>0.69890397125732218</v>
      </c>
      <c r="AA5">
        <v>0.83794420859122976</v>
      </c>
      <c r="AB5">
        <v>0.76085416231425895</v>
      </c>
      <c r="AC5">
        <v>0.732297849839883</v>
      </c>
      <c r="AD5">
        <v>0.7619162363916625</v>
      </c>
      <c r="AE5">
        <v>0.72693668315520266</v>
      </c>
    </row>
    <row r="6" spans="1:31" x14ac:dyDescent="0.25">
      <c r="A6" s="17">
        <v>4</v>
      </c>
      <c r="B6">
        <v>0.82615549129643273</v>
      </c>
      <c r="C6">
        <v>0.82330792653731133</v>
      </c>
      <c r="D6">
        <v>0.79938023655371082</v>
      </c>
      <c r="E6">
        <v>0.71764693743076047</v>
      </c>
      <c r="F6">
        <v>0.8674057004638891</v>
      </c>
      <c r="G6">
        <v>0.77454067735766252</v>
      </c>
      <c r="H6">
        <v>0.88288495134034883</v>
      </c>
      <c r="I6">
        <v>0.85823462215565893</v>
      </c>
      <c r="J6">
        <v>0.92013686461607436</v>
      </c>
      <c r="K6">
        <v>0.82503027776217608</v>
      </c>
      <c r="L6">
        <v>0.79956332335193037</v>
      </c>
      <c r="M6">
        <v>0.88748351905002532</v>
      </c>
      <c r="N6">
        <v>0.93735833320085415</v>
      </c>
      <c r="O6">
        <v>0.74484419150584791</v>
      </c>
      <c r="P6">
        <v>0.77447621436125047</v>
      </c>
      <c r="Q6">
        <v>0.56884171881849055</v>
      </c>
      <c r="R6">
        <v>0.57902195609611784</v>
      </c>
      <c r="S6">
        <v>0.63826014634168526</v>
      </c>
      <c r="T6">
        <v>0.64358469044389022</v>
      </c>
      <c r="U6">
        <v>0.48370059970494078</v>
      </c>
      <c r="V6">
        <v>0.60580376001833958</v>
      </c>
      <c r="W6">
        <v>0.68532982107171336</v>
      </c>
      <c r="X6">
        <v>0.57038985496687322</v>
      </c>
      <c r="Y6">
        <v>0.46134367290566891</v>
      </c>
      <c r="Z6">
        <v>0.5698106793143124</v>
      </c>
      <c r="AA6">
        <v>0.63964129202623665</v>
      </c>
      <c r="AB6">
        <v>0.53928555733857031</v>
      </c>
      <c r="AC6">
        <v>0.54000621769927049</v>
      </c>
      <c r="AD6">
        <v>0.66456506754449141</v>
      </c>
      <c r="AE6">
        <v>0.74408762764707592</v>
      </c>
    </row>
    <row r="7" spans="1:31" x14ac:dyDescent="0.25">
      <c r="A7" s="17">
        <v>5</v>
      </c>
      <c r="B7">
        <v>1.1617067473910603</v>
      </c>
      <c r="C7">
        <v>0.95387511045087381</v>
      </c>
      <c r="D7">
        <v>0.7255842166546439</v>
      </c>
      <c r="E7">
        <v>0.69363396663147692</v>
      </c>
      <c r="F7">
        <v>0.7092285951586178</v>
      </c>
      <c r="G7">
        <v>0.88358021193649983</v>
      </c>
      <c r="H7">
        <v>0.83592514255135331</v>
      </c>
      <c r="I7">
        <v>0.68924064496129844</v>
      </c>
      <c r="J7">
        <v>0.87342485948487114</v>
      </c>
      <c r="K7">
        <v>0.77456946016136397</v>
      </c>
      <c r="L7">
        <v>0.64074178296012252</v>
      </c>
      <c r="M7">
        <v>0.67792253513589829</v>
      </c>
      <c r="N7">
        <v>0.69707703782658292</v>
      </c>
      <c r="O7">
        <v>0.53057529544244075</v>
      </c>
      <c r="P7">
        <v>0.66278066952593739</v>
      </c>
      <c r="Q7">
        <v>2.2237766072476527E-2</v>
      </c>
      <c r="R7">
        <v>0.11878818940592978</v>
      </c>
      <c r="S7">
        <v>0.28196133485410863</v>
      </c>
      <c r="T7">
        <v>0.47100276906548222</v>
      </c>
      <c r="U7">
        <v>0.35131157162030674</v>
      </c>
      <c r="V7">
        <v>0.40601063743490601</v>
      </c>
      <c r="W7">
        <v>0.24169688641836373</v>
      </c>
      <c r="X7">
        <v>0.50731995360235083</v>
      </c>
      <c r="Y7">
        <v>0.1321329302177254</v>
      </c>
      <c r="Z7">
        <v>0.28218826718712514</v>
      </c>
      <c r="AA7">
        <v>0.44813519737424778</v>
      </c>
      <c r="AB7">
        <v>0.37141100845945652</v>
      </c>
      <c r="AC7">
        <v>0.33449066912461184</v>
      </c>
      <c r="AD7">
        <v>0.60261629110052872</v>
      </c>
      <c r="AE7">
        <v>0.44452622282875742</v>
      </c>
    </row>
    <row r="8" spans="1:31" x14ac:dyDescent="0.25">
      <c r="A8" s="17">
        <v>6</v>
      </c>
      <c r="B8">
        <v>1.655363676787343</v>
      </c>
      <c r="C8">
        <v>0.90796699078568754</v>
      </c>
      <c r="D8">
        <v>0.79005784177626315</v>
      </c>
      <c r="E8">
        <v>0.8238957239278929</v>
      </c>
      <c r="F8">
        <v>0.95564546778987725</v>
      </c>
      <c r="G8">
        <v>1.2672575702405897</v>
      </c>
      <c r="H8">
        <v>1.3996130378881217</v>
      </c>
      <c r="I8">
        <v>0.91112951878423964</v>
      </c>
      <c r="J8">
        <v>1.0256955462056385</v>
      </c>
      <c r="K8">
        <v>0.75688004194995562</v>
      </c>
      <c r="L8">
        <v>0.91056335984666659</v>
      </c>
      <c r="M8">
        <v>1.1924964266808098</v>
      </c>
      <c r="N8">
        <v>1.112342291128612</v>
      </c>
      <c r="O8">
        <v>0.78944523625359853</v>
      </c>
      <c r="P8">
        <v>0.71465539144378298</v>
      </c>
      <c r="Q8">
        <v>0.38276542028125943</v>
      </c>
      <c r="R8">
        <v>0.71572078927447269</v>
      </c>
      <c r="S8">
        <v>0.83562303933811832</v>
      </c>
      <c r="T8">
        <v>0.82551903545735428</v>
      </c>
      <c r="U8">
        <v>0.85608542680126598</v>
      </c>
      <c r="V8">
        <v>0.39943540109143549</v>
      </c>
      <c r="W8">
        <v>0.4912307058847849</v>
      </c>
      <c r="X8">
        <v>0.78259026204714799</v>
      </c>
      <c r="Y8">
        <v>0.70534332317385007</v>
      </c>
      <c r="Z8">
        <v>0.83587452421211972</v>
      </c>
      <c r="AA8">
        <v>0.67649068607923446</v>
      </c>
      <c r="AB8">
        <v>0.46586281194239082</v>
      </c>
      <c r="AC8">
        <v>0.52900912404042821</v>
      </c>
      <c r="AD8">
        <v>0.82768323324300985</v>
      </c>
      <c r="AE8">
        <v>0.81559803900688543</v>
      </c>
    </row>
    <row r="9" spans="1:31" x14ac:dyDescent="0.25">
      <c r="A9" s="17">
        <v>7</v>
      </c>
      <c r="B9">
        <v>0.93498718959125315</v>
      </c>
      <c r="C9">
        <v>0.93687973399350988</v>
      </c>
      <c r="D9">
        <v>0.80529672899109073</v>
      </c>
      <c r="E9">
        <v>0.85741430172836119</v>
      </c>
      <c r="F9">
        <v>0.73871099619782521</v>
      </c>
      <c r="G9">
        <v>0.83517390447035045</v>
      </c>
      <c r="H9">
        <v>1.6209686446458744</v>
      </c>
      <c r="I9">
        <v>0.81590032070917429</v>
      </c>
      <c r="J9">
        <v>0.90610458424303875</v>
      </c>
      <c r="K9">
        <v>0.90680858684357979</v>
      </c>
      <c r="L9">
        <v>0.8681032680481241</v>
      </c>
      <c r="M9">
        <v>0.88383102109118294</v>
      </c>
      <c r="N9">
        <v>0.88440622678994829</v>
      </c>
      <c r="O9">
        <v>0.80487697551489201</v>
      </c>
      <c r="P9">
        <v>0.82291233174120682</v>
      </c>
      <c r="Q9">
        <v>0.38937860455149131</v>
      </c>
      <c r="R9">
        <v>0.40625450847696182</v>
      </c>
      <c r="S9">
        <v>0.53032244642208626</v>
      </c>
      <c r="T9">
        <v>0.45639532617235634</v>
      </c>
      <c r="U9">
        <v>0.55857820690288251</v>
      </c>
      <c r="V9">
        <v>0.47424752200641124</v>
      </c>
      <c r="W9">
        <v>0.24268653122786593</v>
      </c>
      <c r="X9">
        <v>0.47309737511880229</v>
      </c>
      <c r="Y9">
        <v>0.39315514474443297</v>
      </c>
      <c r="Z9">
        <v>0.4373322376985434</v>
      </c>
      <c r="AA9">
        <v>0.50907422826374005</v>
      </c>
      <c r="AB9">
        <v>0.41170915403506231</v>
      </c>
      <c r="AC9">
        <v>0.40171458314325675</v>
      </c>
      <c r="AD9">
        <v>0.48969506846081545</v>
      </c>
      <c r="AE9">
        <v>0.47855373490760411</v>
      </c>
    </row>
    <row r="10" spans="1:31" x14ac:dyDescent="0.25">
      <c r="A10" s="17">
        <v>8</v>
      </c>
      <c r="B10">
        <v>1.3502629933077639</v>
      </c>
      <c r="C10">
        <v>0.82777387285910042</v>
      </c>
      <c r="D10">
        <v>1.0336383468195842</v>
      </c>
      <c r="E10">
        <v>0.75006233720840731</v>
      </c>
      <c r="F10">
        <v>1.2199709419500375</v>
      </c>
      <c r="G10">
        <v>0.71161348336822694</v>
      </c>
      <c r="H10">
        <v>0.97621210363066102</v>
      </c>
      <c r="I10">
        <v>1.0387031855599116</v>
      </c>
      <c r="J10">
        <v>1.1263862571721943</v>
      </c>
      <c r="K10">
        <v>0.9815203591260856</v>
      </c>
      <c r="L10">
        <v>0.76683760422610403</v>
      </c>
      <c r="M10">
        <v>0.91815376174820773</v>
      </c>
      <c r="N10">
        <v>0.8677625307364204</v>
      </c>
      <c r="O10">
        <v>0.72715061684765359</v>
      </c>
      <c r="P10">
        <v>0.70238278264457654</v>
      </c>
      <c r="Q10">
        <v>0.4983687836209898</v>
      </c>
      <c r="R10">
        <v>0.7921342713333529</v>
      </c>
      <c r="S10">
        <v>0.7580391581510233</v>
      </c>
      <c r="T10">
        <v>0.82511051580601413</v>
      </c>
      <c r="U10">
        <v>0.66508164720678631</v>
      </c>
      <c r="V10">
        <v>0.83437979523235539</v>
      </c>
      <c r="W10">
        <v>0.69171224405321641</v>
      </c>
      <c r="X10">
        <v>0.72924930952983613</v>
      </c>
      <c r="Y10">
        <v>0.63525645639071948</v>
      </c>
      <c r="Z10">
        <v>0.79818298380752839</v>
      </c>
      <c r="AA10">
        <v>0.81498059379243515</v>
      </c>
      <c r="AB10">
        <v>0.74555271636267151</v>
      </c>
      <c r="AC10">
        <v>0.76936709715868767</v>
      </c>
      <c r="AD10">
        <v>0.85744610340117788</v>
      </c>
      <c r="AE10">
        <v>0.83911399042286394</v>
      </c>
    </row>
    <row r="11" spans="1:31" x14ac:dyDescent="0.25">
      <c r="A11" s="17">
        <v>9</v>
      </c>
      <c r="B11">
        <v>0.77615782133951339</v>
      </c>
      <c r="C11">
        <v>0.5315600267588162</v>
      </c>
      <c r="D11">
        <v>0.52717361266221707</v>
      </c>
      <c r="E11">
        <v>0.5007826582278484</v>
      </c>
      <c r="F11">
        <v>0.5126658862917769</v>
      </c>
      <c r="G11">
        <v>0.49697179737888542</v>
      </c>
      <c r="H11">
        <v>0.82803847709607259</v>
      </c>
      <c r="I11">
        <v>0.53554582748195623</v>
      </c>
      <c r="J11">
        <v>0.70163345144473399</v>
      </c>
      <c r="K11">
        <v>0.63900935587673513</v>
      </c>
      <c r="L11">
        <v>0.73926801789252994</v>
      </c>
      <c r="M11">
        <v>0.68836322686034257</v>
      </c>
      <c r="N11">
        <v>0.66795477414698534</v>
      </c>
      <c r="O11">
        <v>0.46407539338973069</v>
      </c>
      <c r="P11">
        <v>0.45487519761770906</v>
      </c>
      <c r="Q11">
        <v>0.17889409639246645</v>
      </c>
      <c r="R11">
        <v>0.40663990753940521</v>
      </c>
      <c r="S11">
        <v>0.4652478594285237</v>
      </c>
      <c r="T11">
        <v>0.41118411271856836</v>
      </c>
      <c r="U11">
        <v>0.3705903554982849</v>
      </c>
      <c r="V11">
        <v>0.43265176686092066</v>
      </c>
      <c r="W11">
        <v>0.39935898636278533</v>
      </c>
      <c r="X11">
        <v>0.32392930057426278</v>
      </c>
      <c r="Y11">
        <v>0.18660086612011242</v>
      </c>
      <c r="Z11">
        <v>0.20711356906757414</v>
      </c>
      <c r="AA11">
        <v>0.49515338142321763</v>
      </c>
      <c r="AB11">
        <v>0.43440089652815239</v>
      </c>
      <c r="AC11">
        <v>0.35963442557261505</v>
      </c>
      <c r="AD11">
        <v>0.52365358259982719</v>
      </c>
      <c r="AE11">
        <v>0.56070955605521844</v>
      </c>
    </row>
    <row r="12" spans="1:31" x14ac:dyDescent="0.25">
      <c r="A12" s="20">
        <v>10</v>
      </c>
      <c r="B12">
        <v>0.80812284194958051</v>
      </c>
      <c r="C12">
        <v>0.77090342274702828</v>
      </c>
      <c r="D12">
        <v>0.76764732045690531</v>
      </c>
      <c r="E12">
        <v>0.86093343278816648</v>
      </c>
      <c r="F12">
        <v>0.78345149001528269</v>
      </c>
      <c r="G12">
        <v>0.72293248429907564</v>
      </c>
      <c r="H12">
        <v>1.5072924657029072</v>
      </c>
      <c r="I12">
        <v>0.8217787128280033</v>
      </c>
      <c r="J12">
        <v>0.93875686786688806</v>
      </c>
      <c r="K12">
        <v>0.80887556317999243</v>
      </c>
      <c r="L12">
        <v>0.8230374293951237</v>
      </c>
      <c r="M12">
        <v>0.72611271534458288</v>
      </c>
      <c r="N12">
        <v>0.7491566068244675</v>
      </c>
      <c r="O12">
        <v>0.76799028909393341</v>
      </c>
      <c r="P12">
        <v>0.83944723478429539</v>
      </c>
      <c r="Q12">
        <v>0.8196719755703894</v>
      </c>
      <c r="R12">
        <v>0.75607908429968429</v>
      </c>
      <c r="S12">
        <v>0.797575587112347</v>
      </c>
      <c r="T12">
        <v>0.67052710062636711</v>
      </c>
      <c r="U12">
        <v>0.89096634920741524</v>
      </c>
      <c r="V12">
        <v>0.77277162687185041</v>
      </c>
      <c r="W12">
        <v>3.9247274394184481E-3</v>
      </c>
      <c r="X12">
        <v>0.8113728173479442</v>
      </c>
      <c r="Y12">
        <v>0.61299330943014274</v>
      </c>
      <c r="Z12">
        <v>0.74858673393073993</v>
      </c>
      <c r="AA12">
        <v>0.71372137527436053</v>
      </c>
      <c r="AB12">
        <v>0.76707068584995541</v>
      </c>
      <c r="AC12">
        <v>0.78682011014323749</v>
      </c>
      <c r="AD12">
        <v>0.74092566288611472</v>
      </c>
      <c r="AE12">
        <v>0.70351688242365906</v>
      </c>
    </row>
    <row r="14" spans="1:31" x14ac:dyDescent="0.25">
      <c r="A14" s="7" t="s">
        <v>17</v>
      </c>
      <c r="B14" s="7">
        <f>AVERAGE(B3:B12)</f>
        <v>1.0940439110029385</v>
      </c>
      <c r="C14" s="8">
        <f t="shared" ref="C14:AE14" si="0">AVERAGE(C3:C12)</f>
        <v>0.86854298943099495</v>
      </c>
      <c r="D14" s="8">
        <f t="shared" si="0"/>
        <v>0.80765756325807581</v>
      </c>
      <c r="E14" s="8">
        <f t="shared" si="0"/>
        <v>0.81298841914109854</v>
      </c>
      <c r="F14" s="8">
        <f t="shared" si="0"/>
        <v>0.88165163979750782</v>
      </c>
      <c r="G14" s="8">
        <f t="shared" si="0"/>
        <v>0.84719110873316394</v>
      </c>
      <c r="H14" s="8">
        <f t="shared" si="0"/>
        <v>1.1154019957119481</v>
      </c>
      <c r="I14" s="8">
        <f t="shared" si="0"/>
        <v>0.87070114799800025</v>
      </c>
      <c r="J14" s="8">
        <f t="shared" si="0"/>
        <v>0.94102211833840121</v>
      </c>
      <c r="K14" s="8">
        <f t="shared" si="0"/>
        <v>0.85322450462134847</v>
      </c>
      <c r="L14" s="8">
        <f t="shared" si="0"/>
        <v>0.79711830661894878</v>
      </c>
      <c r="M14" s="8">
        <f t="shared" si="0"/>
        <v>0.89388279356807865</v>
      </c>
      <c r="N14" s="8">
        <f t="shared" si="0"/>
        <v>0.88539609917648787</v>
      </c>
      <c r="O14" s="8">
        <f t="shared" si="0"/>
        <v>0.74158231299783695</v>
      </c>
      <c r="P14" s="9">
        <f t="shared" si="0"/>
        <v>0.75495092002764896</v>
      </c>
      <c r="Q14" s="8">
        <f t="shared" si="0"/>
        <v>0.42604906079621169</v>
      </c>
      <c r="R14" s="8">
        <f t="shared" si="0"/>
        <v>0.55957853738606089</v>
      </c>
      <c r="S14" s="8">
        <f t="shared" si="0"/>
        <v>0.61634676597692839</v>
      </c>
      <c r="T14" s="8">
        <f t="shared" si="0"/>
        <v>0.59825427345203686</v>
      </c>
      <c r="U14" s="8">
        <f t="shared" si="0"/>
        <v>0.58960587252245955</v>
      </c>
      <c r="V14" s="8">
        <f t="shared" si="0"/>
        <v>0.57029864366324878</v>
      </c>
      <c r="W14" s="8">
        <f t="shared" si="0"/>
        <v>0.44660567020356617</v>
      </c>
      <c r="X14" s="8">
        <f t="shared" si="0"/>
        <v>0.57986104134659544</v>
      </c>
      <c r="Y14" s="8">
        <f t="shared" si="0"/>
        <v>0.47062323309854115</v>
      </c>
      <c r="Z14" s="8">
        <f t="shared" si="0"/>
        <v>0.56288903599121687</v>
      </c>
      <c r="AA14" s="8">
        <f t="shared" si="0"/>
        <v>0.63534342849275516</v>
      </c>
      <c r="AB14" s="8">
        <f t="shared" si="0"/>
        <v>0.54295025093576288</v>
      </c>
      <c r="AC14" s="8">
        <f t="shared" si="0"/>
        <v>0.5431758382280184</v>
      </c>
      <c r="AD14" s="8">
        <f t="shared" si="0"/>
        <v>0.66946717322110438</v>
      </c>
      <c r="AE14" s="9">
        <f t="shared" si="0"/>
        <v>0.65626339223193331</v>
      </c>
    </row>
    <row r="15" spans="1:31" x14ac:dyDescent="0.25">
      <c r="A15" s="10" t="s">
        <v>19</v>
      </c>
      <c r="B15" s="10">
        <f>MEDIAN(B3:B12)</f>
        <v>1.0483469684911566</v>
      </c>
      <c r="C15" s="11">
        <f t="shared" ref="C15:AE15" si="1">MEDIAN(C3:C12)</f>
        <v>0.84303813750475221</v>
      </c>
      <c r="D15" s="11">
        <f t="shared" si="1"/>
        <v>0.79471903916498698</v>
      </c>
      <c r="E15" s="11">
        <f t="shared" si="1"/>
        <v>0.80949103145519274</v>
      </c>
      <c r="F15" s="11">
        <f t="shared" si="1"/>
        <v>0.84632866545334462</v>
      </c>
      <c r="G15" s="11">
        <f t="shared" si="1"/>
        <v>0.80485729091400648</v>
      </c>
      <c r="H15" s="11">
        <f t="shared" si="1"/>
        <v>1.0288906087321887</v>
      </c>
      <c r="I15" s="11">
        <f t="shared" si="1"/>
        <v>0.87295160680111794</v>
      </c>
      <c r="J15" s="11">
        <f t="shared" si="1"/>
        <v>0.9131207244295565</v>
      </c>
      <c r="K15" s="11">
        <f t="shared" si="1"/>
        <v>0.81695292047108425</v>
      </c>
      <c r="L15" s="11">
        <f t="shared" si="1"/>
        <v>0.7832004637890172</v>
      </c>
      <c r="M15" s="11">
        <f t="shared" si="1"/>
        <v>0.86202955489277822</v>
      </c>
      <c r="N15" s="11">
        <f t="shared" si="1"/>
        <v>0.83599675070062685</v>
      </c>
      <c r="O15" s="11">
        <f t="shared" si="1"/>
        <v>0.74945587707173056</v>
      </c>
      <c r="P15" s="12">
        <f t="shared" si="1"/>
        <v>0.74456580290251673</v>
      </c>
      <c r="Q15" s="11">
        <f t="shared" si="1"/>
        <v>0.42331330028827757</v>
      </c>
      <c r="R15" s="11">
        <f t="shared" si="1"/>
        <v>0.64737137268529521</v>
      </c>
      <c r="S15" s="11">
        <f t="shared" si="1"/>
        <v>0.67245364479220504</v>
      </c>
      <c r="T15" s="11">
        <f t="shared" si="1"/>
        <v>0.64558785515908135</v>
      </c>
      <c r="U15" s="11">
        <f t="shared" si="1"/>
        <v>0.6082981387803309</v>
      </c>
      <c r="V15" s="11">
        <f t="shared" si="1"/>
        <v>0.54002564101237538</v>
      </c>
      <c r="W15" s="11">
        <f t="shared" si="1"/>
        <v>0.47786841314181938</v>
      </c>
      <c r="X15" s="11">
        <f t="shared" si="1"/>
        <v>0.60360079834921421</v>
      </c>
      <c r="Y15" s="11">
        <f t="shared" si="1"/>
        <v>0.53506423681408943</v>
      </c>
      <c r="Z15" s="11">
        <f t="shared" si="1"/>
        <v>0.63435732528581723</v>
      </c>
      <c r="AA15" s="11">
        <f t="shared" si="1"/>
        <v>0.65806598905273561</v>
      </c>
      <c r="AB15" s="11">
        <f t="shared" si="1"/>
        <v>0.50257418464048054</v>
      </c>
      <c r="AC15" s="11">
        <f t="shared" si="1"/>
        <v>0.53450767086984929</v>
      </c>
      <c r="AD15" s="11">
        <f t="shared" si="1"/>
        <v>0.70274536521530306</v>
      </c>
      <c r="AE15" s="12">
        <f t="shared" si="1"/>
        <v>0.71522678278943086</v>
      </c>
    </row>
  </sheetData>
  <mergeCells count="2">
    <mergeCell ref="B1:P1"/>
    <mergeCell ref="Q1:A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5"/>
  <sheetViews>
    <sheetView zoomScale="90" zoomScaleNormal="90" workbookViewId="0">
      <selection activeCell="B3" sqref="B3:AE12"/>
    </sheetView>
  </sheetViews>
  <sheetFormatPr defaultRowHeight="15" x14ac:dyDescent="0.25"/>
  <sheetData>
    <row r="1" spans="1:31" x14ac:dyDescent="0.25">
      <c r="A1" s="13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5"/>
      <c r="Q1" s="16" t="s">
        <v>1</v>
      </c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5"/>
    </row>
    <row r="2" spans="1:31" x14ac:dyDescent="0.25">
      <c r="A2" s="17"/>
      <c r="B2" s="18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7</v>
      </c>
      <c r="H2" s="18" t="s">
        <v>8</v>
      </c>
      <c r="I2" s="18" t="s">
        <v>9</v>
      </c>
      <c r="J2" s="18" t="s">
        <v>10</v>
      </c>
      <c r="K2" s="18" t="s">
        <v>11</v>
      </c>
      <c r="L2" s="18" t="s">
        <v>12</v>
      </c>
      <c r="M2" s="18" t="s">
        <v>13</v>
      </c>
      <c r="N2" s="18" t="s">
        <v>14</v>
      </c>
      <c r="O2" s="18" t="s">
        <v>15</v>
      </c>
      <c r="P2" s="19" t="s">
        <v>16</v>
      </c>
      <c r="Q2" s="10" t="s">
        <v>2</v>
      </c>
      <c r="R2" s="11" t="s">
        <v>3</v>
      </c>
      <c r="S2" s="11" t="s">
        <v>4</v>
      </c>
      <c r="T2" s="11" t="s">
        <v>5</v>
      </c>
      <c r="U2" s="11" t="s">
        <v>6</v>
      </c>
      <c r="V2" s="11" t="s">
        <v>7</v>
      </c>
      <c r="W2" s="11" t="s">
        <v>8</v>
      </c>
      <c r="X2" s="11" t="s">
        <v>9</v>
      </c>
      <c r="Y2" s="11" t="s">
        <v>10</v>
      </c>
      <c r="Z2" s="11" t="s">
        <v>11</v>
      </c>
      <c r="AA2" s="11" t="s">
        <v>12</v>
      </c>
      <c r="AB2" s="11" t="s">
        <v>13</v>
      </c>
      <c r="AC2" s="11" t="s">
        <v>14</v>
      </c>
      <c r="AD2" s="11" t="s">
        <v>15</v>
      </c>
      <c r="AE2" s="12" t="s">
        <v>16</v>
      </c>
    </row>
    <row r="3" spans="1:31" x14ac:dyDescent="0.25">
      <c r="A3" s="17">
        <v>1</v>
      </c>
      <c r="B3">
        <v>0.87051718636542907</v>
      </c>
      <c r="C3">
        <v>0.89192083404591838</v>
      </c>
      <c r="D3">
        <v>0.97949036623474073</v>
      </c>
      <c r="E3">
        <v>0.91703142217092726</v>
      </c>
      <c r="F3">
        <v>0.94995383754554086</v>
      </c>
      <c r="G3">
        <v>0.90635200296499963</v>
      </c>
      <c r="H3">
        <v>0.78707462848697951</v>
      </c>
      <c r="I3">
        <v>0.94407664164842409</v>
      </c>
      <c r="J3">
        <v>0.84835914160420067</v>
      </c>
      <c r="K3">
        <v>0.84713643617021139</v>
      </c>
      <c r="L3">
        <v>0.86271586929359312</v>
      </c>
      <c r="M3">
        <v>0.86724266887455814</v>
      </c>
      <c r="N3">
        <v>0.95686053265013504</v>
      </c>
      <c r="O3">
        <v>0.81208876922328099</v>
      </c>
      <c r="P3">
        <v>0.82542840882840973</v>
      </c>
      <c r="Q3">
        <v>0.61529201307899073</v>
      </c>
      <c r="R3">
        <v>0.5376830080387327</v>
      </c>
      <c r="S3">
        <v>0.57086098970798649</v>
      </c>
      <c r="T3">
        <v>0.60378144183642024</v>
      </c>
      <c r="U3">
        <v>0.58493919494919777</v>
      </c>
      <c r="V3">
        <v>0.54916131942407265</v>
      </c>
      <c r="W3">
        <v>0.82173083671706137</v>
      </c>
      <c r="X3">
        <v>0.48945007163916199</v>
      </c>
      <c r="Y3">
        <v>0.61784835508390956</v>
      </c>
      <c r="Z3">
        <v>0.68787625604976832</v>
      </c>
      <c r="AA3">
        <v>0.5592729316709889</v>
      </c>
      <c r="AB3">
        <v>0.60715671471505361</v>
      </c>
      <c r="AC3">
        <v>0.46633172950250534</v>
      </c>
      <c r="AD3">
        <v>0.67656805895286121</v>
      </c>
      <c r="AE3">
        <v>0.6496322381145514</v>
      </c>
    </row>
    <row r="4" spans="1:31" x14ac:dyDescent="0.25">
      <c r="A4" s="17">
        <v>2</v>
      </c>
      <c r="B4">
        <v>0.85235513451040479</v>
      </c>
      <c r="C4">
        <v>0.92844441100558095</v>
      </c>
      <c r="D4">
        <v>0.63964786124860662</v>
      </c>
      <c r="E4">
        <v>0.98804276517470813</v>
      </c>
      <c r="F4">
        <v>0.85788475836739453</v>
      </c>
      <c r="G4">
        <v>0.83703887446043979</v>
      </c>
      <c r="H4">
        <v>0.69253836589871809</v>
      </c>
      <c r="I4">
        <v>0.88964206285449443</v>
      </c>
      <c r="J4">
        <v>0.96840990892213774</v>
      </c>
      <c r="K4">
        <v>0.873211101692006</v>
      </c>
      <c r="L4">
        <v>0.73649320444715116</v>
      </c>
      <c r="M4">
        <v>0.98509744183659309</v>
      </c>
      <c r="N4">
        <v>0.94790177236427464</v>
      </c>
      <c r="O4">
        <v>0.82332613732555371</v>
      </c>
      <c r="P4">
        <v>0.80347485676425079</v>
      </c>
      <c r="Q4">
        <v>0.84992805841717678</v>
      </c>
      <c r="R4">
        <v>0.61530290219940875</v>
      </c>
      <c r="S4">
        <v>0.84578433366034589</v>
      </c>
      <c r="T4">
        <v>0.56382835216171212</v>
      </c>
      <c r="U4">
        <v>0.824556610043095</v>
      </c>
      <c r="V4">
        <v>0.69202386263204063</v>
      </c>
      <c r="W4">
        <v>0.7970222665019876</v>
      </c>
      <c r="X4">
        <v>0.65992390080476881</v>
      </c>
      <c r="Y4">
        <v>0.58531904591130446</v>
      </c>
      <c r="Z4">
        <v>0.66155089222053209</v>
      </c>
      <c r="AA4">
        <v>0.75955985678231008</v>
      </c>
      <c r="AB4">
        <v>0.56179160464698275</v>
      </c>
      <c r="AC4">
        <v>0.61227514931920513</v>
      </c>
      <c r="AD4">
        <v>0.69676320990136498</v>
      </c>
      <c r="AE4">
        <v>0.71595213217013665</v>
      </c>
    </row>
    <row r="5" spans="1:31" x14ac:dyDescent="0.25">
      <c r="A5" s="17">
        <v>3</v>
      </c>
      <c r="B5">
        <v>1.2022329388644428</v>
      </c>
      <c r="C5">
        <v>0.82043414323140285</v>
      </c>
      <c r="D5">
        <v>1.1295924350592119</v>
      </c>
      <c r="E5">
        <v>0.89634358059511798</v>
      </c>
      <c r="F5">
        <v>1.0182134643476892</v>
      </c>
      <c r="G5">
        <v>0.99118516407934587</v>
      </c>
      <c r="H5">
        <v>1.2219711885369413</v>
      </c>
      <c r="I5">
        <v>0.99738843602063709</v>
      </c>
      <c r="J5">
        <v>0.78606119488825665</v>
      </c>
      <c r="K5">
        <v>0.82289176804860165</v>
      </c>
      <c r="L5">
        <v>0.70528149508950844</v>
      </c>
      <c r="M5">
        <v>0.6654249780892485</v>
      </c>
      <c r="N5">
        <v>0.73376462684307264</v>
      </c>
      <c r="O5">
        <v>0.82618833984975359</v>
      </c>
      <c r="P5">
        <v>0.90206254972206712</v>
      </c>
      <c r="Q5">
        <v>0.19871678723352962</v>
      </c>
      <c r="R5">
        <v>0.67614477717332999</v>
      </c>
      <c r="S5">
        <v>0.28814946396204377</v>
      </c>
      <c r="T5">
        <v>0.58646538087487532</v>
      </c>
      <c r="U5">
        <v>0.47930921470466376</v>
      </c>
      <c r="V5">
        <v>0.46335331026168625</v>
      </c>
      <c r="W5">
        <v>0.35683818628426495</v>
      </c>
      <c r="X5">
        <v>0.40104059057844071</v>
      </c>
      <c r="Y5">
        <v>0.72398435888193657</v>
      </c>
      <c r="Z5">
        <v>0.67777416439561644</v>
      </c>
      <c r="AA5">
        <v>0.73034050237760006</v>
      </c>
      <c r="AB5">
        <v>0.79571323688044782</v>
      </c>
      <c r="AC5">
        <v>0.71719299406940784</v>
      </c>
      <c r="AD5">
        <v>0.67225302982806434</v>
      </c>
      <c r="AE5">
        <v>0.56088846095452005</v>
      </c>
    </row>
    <row r="6" spans="1:31" x14ac:dyDescent="0.25">
      <c r="A6" s="17">
        <v>4</v>
      </c>
      <c r="B6">
        <v>0.86117973153468608</v>
      </c>
      <c r="C6">
        <v>0.65615156307943312</v>
      </c>
      <c r="D6">
        <v>0.85560579969053685</v>
      </c>
      <c r="E6">
        <v>0.69083009393343819</v>
      </c>
      <c r="F6">
        <v>0.80754719278870424</v>
      </c>
      <c r="G6">
        <v>0.60253329663568511</v>
      </c>
      <c r="H6">
        <v>0.75007304029668775</v>
      </c>
      <c r="I6">
        <v>0.84228916657889341</v>
      </c>
      <c r="J6">
        <v>0.74660698171187545</v>
      </c>
      <c r="K6">
        <v>0.73837026952725404</v>
      </c>
      <c r="L6">
        <v>0.69970464148542699</v>
      </c>
      <c r="M6">
        <v>0.86177746126761323</v>
      </c>
      <c r="N6">
        <v>0.89324111719834642</v>
      </c>
      <c r="O6">
        <v>0.65429677147179677</v>
      </c>
      <c r="P6">
        <v>0.70064705033109698</v>
      </c>
      <c r="Q6">
        <v>0.61389989195303685</v>
      </c>
      <c r="R6">
        <v>0.67198938475388703</v>
      </c>
      <c r="S6">
        <v>0.48335058354091309</v>
      </c>
      <c r="T6">
        <v>0.69724772212079489</v>
      </c>
      <c r="U6">
        <v>0.53688778904774703</v>
      </c>
      <c r="V6">
        <v>0.7344259772057552</v>
      </c>
      <c r="W6">
        <v>0.57172976524909602</v>
      </c>
      <c r="X6">
        <v>0.45468987281361395</v>
      </c>
      <c r="Y6">
        <v>0.64919702367361121</v>
      </c>
      <c r="Z6">
        <v>0.60445783923208185</v>
      </c>
      <c r="AA6">
        <v>0.64561560591272715</v>
      </c>
      <c r="AB6">
        <v>0.50543543266526136</v>
      </c>
      <c r="AC6">
        <v>0.44239700221788708</v>
      </c>
      <c r="AD6">
        <v>0.68083029531482164</v>
      </c>
      <c r="AE6">
        <v>0.69338372987360175</v>
      </c>
    </row>
    <row r="7" spans="1:31" x14ac:dyDescent="0.25">
      <c r="A7" s="17">
        <v>5</v>
      </c>
      <c r="B7">
        <v>0.80530503834633982</v>
      </c>
      <c r="C7">
        <v>0.5966491484762354</v>
      </c>
      <c r="D7">
        <v>0.74174077398531446</v>
      </c>
      <c r="E7">
        <v>0.75128931575009761</v>
      </c>
      <c r="F7">
        <v>0.78517427029423437</v>
      </c>
      <c r="G7">
        <v>0.77242921336898773</v>
      </c>
      <c r="H7">
        <v>1.1264437711315569</v>
      </c>
      <c r="I7">
        <v>0.92575176658396563</v>
      </c>
      <c r="J7">
        <v>0.87990175855200814</v>
      </c>
      <c r="K7">
        <v>0.79107604943588272</v>
      </c>
      <c r="L7">
        <v>0.72657417586839212</v>
      </c>
      <c r="M7">
        <v>0.65406604551853176</v>
      </c>
      <c r="N7">
        <v>0.61823337384262378</v>
      </c>
      <c r="O7">
        <v>0.65667987009856388</v>
      </c>
      <c r="P7">
        <v>0.68042623994247176</v>
      </c>
      <c r="Q7">
        <v>0.59782505235273953</v>
      </c>
      <c r="R7">
        <v>0.87644763000466441</v>
      </c>
      <c r="S7">
        <v>0.66758121825573624</v>
      </c>
      <c r="T7">
        <v>0.74441308611435442</v>
      </c>
      <c r="U7">
        <v>0.83528743587443022</v>
      </c>
      <c r="V7">
        <v>0.70267230111326184</v>
      </c>
      <c r="W7">
        <v>0.34752793735151888</v>
      </c>
      <c r="X7">
        <v>0.46923700422651782</v>
      </c>
      <c r="Y7">
        <v>0.67568316404532147</v>
      </c>
      <c r="Z7">
        <v>0.74968705439967098</v>
      </c>
      <c r="AA7">
        <v>0.70014399734153365</v>
      </c>
      <c r="AB7">
        <v>0.76394608958667842</v>
      </c>
      <c r="AC7">
        <v>0.79841647781752678</v>
      </c>
      <c r="AD7">
        <v>0.84412435617194215</v>
      </c>
      <c r="AE7">
        <v>0.73303074612229646</v>
      </c>
    </row>
    <row r="8" spans="1:31" x14ac:dyDescent="0.25">
      <c r="A8" s="17">
        <v>6</v>
      </c>
      <c r="B8">
        <v>0.90519644367143681</v>
      </c>
      <c r="C8">
        <v>0.76801291026849494</v>
      </c>
      <c r="D8">
        <v>0.67240718381343656</v>
      </c>
      <c r="E8">
        <v>0.69189563550431255</v>
      </c>
      <c r="F8">
        <v>0.67967767376535415</v>
      </c>
      <c r="G8">
        <v>0.71479899674325686</v>
      </c>
      <c r="H8">
        <v>1.0497474322594236</v>
      </c>
      <c r="I8">
        <v>0.92396987685385779</v>
      </c>
      <c r="J8">
        <v>0.67209607497341217</v>
      </c>
      <c r="K8">
        <v>0.71558781612467626</v>
      </c>
      <c r="L8">
        <v>0.68317454918258869</v>
      </c>
      <c r="M8">
        <v>0.68199188624914486</v>
      </c>
      <c r="N8">
        <v>0.66597686889779928</v>
      </c>
      <c r="O8">
        <v>0.6435626208917693</v>
      </c>
      <c r="P8">
        <v>0.6794750829652132</v>
      </c>
      <c r="Q8">
        <v>0.42498469182095461</v>
      </c>
      <c r="R8">
        <v>0.39992933792714819</v>
      </c>
      <c r="S8">
        <v>0.57596900611762059</v>
      </c>
      <c r="T8">
        <v>0.48882240962453427</v>
      </c>
      <c r="U8">
        <v>0.50140335235736777</v>
      </c>
      <c r="V8">
        <v>0.49080443462268225</v>
      </c>
      <c r="W8">
        <v>0.4615304140801389</v>
      </c>
      <c r="X8">
        <v>0.24871175537912579</v>
      </c>
      <c r="Y8">
        <v>0.53803733375953267</v>
      </c>
      <c r="Z8">
        <v>0.48981478507083709</v>
      </c>
      <c r="AA8">
        <v>0.54422269686450164</v>
      </c>
      <c r="AB8">
        <v>0.51908586878159457</v>
      </c>
      <c r="AC8">
        <v>0.54298687618653785</v>
      </c>
      <c r="AD8">
        <v>0.56245880066612397</v>
      </c>
      <c r="AE8">
        <v>0.51288524462449669</v>
      </c>
    </row>
    <row r="9" spans="1:31" x14ac:dyDescent="0.25">
      <c r="A9" s="17">
        <v>7</v>
      </c>
      <c r="B9">
        <v>0.89804399831076664</v>
      </c>
      <c r="C9">
        <v>0.82664965700702575</v>
      </c>
      <c r="D9">
        <v>1.0292070805163556</v>
      </c>
      <c r="E9">
        <v>0.84649156662544478</v>
      </c>
      <c r="F9">
        <v>0.99808718472289937</v>
      </c>
      <c r="G9">
        <v>0.80969487932909012</v>
      </c>
      <c r="H9">
        <v>1.5731187338516177</v>
      </c>
      <c r="I9">
        <v>0.7263660693250108</v>
      </c>
      <c r="J9">
        <v>0.82055834436081787</v>
      </c>
      <c r="K9">
        <v>0.76186260754460611</v>
      </c>
      <c r="L9">
        <v>0.6875638615606916</v>
      </c>
      <c r="M9">
        <v>0.84472417934080712</v>
      </c>
      <c r="N9">
        <v>0.84286331767582567</v>
      </c>
      <c r="O9">
        <v>0.78023312877557083</v>
      </c>
      <c r="P9">
        <v>0.76546445818116426</v>
      </c>
      <c r="Q9">
        <v>0.56223501442307067</v>
      </c>
      <c r="R9">
        <v>0.33511118195450962</v>
      </c>
      <c r="S9">
        <v>0.2128094449623078</v>
      </c>
      <c r="T9">
        <v>0.48792478544446993</v>
      </c>
      <c r="U9">
        <v>0.2566439811052067</v>
      </c>
      <c r="V9">
        <v>0.44920463975618569</v>
      </c>
      <c r="W9">
        <v>1.9559770109880317E-2</v>
      </c>
      <c r="X9">
        <v>0.52607836182253209</v>
      </c>
      <c r="Y9">
        <v>0.33217793598512269</v>
      </c>
      <c r="Z9">
        <v>0.40085225458858709</v>
      </c>
      <c r="AA9">
        <v>0.45337821580251975</v>
      </c>
      <c r="AB9">
        <v>0.30232135655009035</v>
      </c>
      <c r="AC9">
        <v>0.32243889953799088</v>
      </c>
      <c r="AD9">
        <v>0.45163860771142006</v>
      </c>
      <c r="AE9">
        <v>0.56389386665720198</v>
      </c>
    </row>
    <row r="10" spans="1:31" x14ac:dyDescent="0.25">
      <c r="A10" s="17">
        <v>8</v>
      </c>
      <c r="B10">
        <v>1.1246108471238123</v>
      </c>
      <c r="C10">
        <v>0.89954534216629511</v>
      </c>
      <c r="D10">
        <v>0.86306781597481597</v>
      </c>
      <c r="E10">
        <v>0.98670815447067406</v>
      </c>
      <c r="F10">
        <v>0.93130739500698279</v>
      </c>
      <c r="G10">
        <v>0.95673539551845077</v>
      </c>
      <c r="H10">
        <v>1.0561946416430363</v>
      </c>
      <c r="I10">
        <v>0.85387010361421711</v>
      </c>
      <c r="J10">
        <v>0.93487334275949252</v>
      </c>
      <c r="K10">
        <v>0.8932962710391561</v>
      </c>
      <c r="L10">
        <v>0.85772433852522711</v>
      </c>
      <c r="M10">
        <v>0.97196614630512246</v>
      </c>
      <c r="N10">
        <v>0.9945975235668485</v>
      </c>
      <c r="O10">
        <v>0.9466940145104964</v>
      </c>
      <c r="P10">
        <v>1.0387972448560217</v>
      </c>
      <c r="Q10">
        <v>0.32116529520624743</v>
      </c>
      <c r="R10">
        <v>0.47968669557906624</v>
      </c>
      <c r="S10">
        <v>0.56141047485198547</v>
      </c>
      <c r="T10">
        <v>0.38372341652555392</v>
      </c>
      <c r="U10">
        <v>0.48625445703834025</v>
      </c>
      <c r="V10">
        <v>0.42522788380392035</v>
      </c>
      <c r="W10">
        <v>0.30900491024311139</v>
      </c>
      <c r="X10">
        <v>0.5997945588324084</v>
      </c>
      <c r="Y10">
        <v>0.45400517899982973</v>
      </c>
      <c r="Z10">
        <v>0.52669644761159051</v>
      </c>
      <c r="AA10">
        <v>0.52686777298260545</v>
      </c>
      <c r="AB10">
        <v>0.41680325544041308</v>
      </c>
      <c r="AC10">
        <v>0.39885655010172949</v>
      </c>
      <c r="AD10">
        <v>0.43510935751495644</v>
      </c>
      <c r="AE10">
        <v>0.36557610338829011</v>
      </c>
    </row>
    <row r="11" spans="1:31" x14ac:dyDescent="0.25">
      <c r="A11" s="17">
        <v>9</v>
      </c>
      <c r="B11">
        <v>2.4478038724083007</v>
      </c>
      <c r="C11">
        <v>1.1095994188200307</v>
      </c>
      <c r="D11">
        <v>1.593640458012801</v>
      </c>
      <c r="E11">
        <v>0.98979196660038959</v>
      </c>
      <c r="F11">
        <v>1.6313028089367458</v>
      </c>
      <c r="G11">
        <v>1.0906101545540918</v>
      </c>
      <c r="H11">
        <v>1.2624714585556978</v>
      </c>
      <c r="I11">
        <v>1.1850286916357764</v>
      </c>
      <c r="J11">
        <v>1.0580644196195397</v>
      </c>
      <c r="K11">
        <v>1.1563431398537878</v>
      </c>
      <c r="L11">
        <v>1.1323314255711532</v>
      </c>
      <c r="M11">
        <v>1.2763263204993203</v>
      </c>
      <c r="N11">
        <v>1.0799368940972893</v>
      </c>
      <c r="O11">
        <v>0.93636321494021046</v>
      </c>
      <c r="P11">
        <v>0.86860447864994916</v>
      </c>
      <c r="Q11">
        <v>1.9005279221469302E-5</v>
      </c>
      <c r="R11">
        <v>0.66953927756002241</v>
      </c>
      <c r="S11">
        <v>0.3039960376305833</v>
      </c>
      <c r="T11">
        <v>0.69406390335800816</v>
      </c>
      <c r="U11">
        <v>0.24763436858368693</v>
      </c>
      <c r="V11">
        <v>0.63477847954335465</v>
      </c>
      <c r="W11">
        <v>0.48859357832197475</v>
      </c>
      <c r="X11">
        <v>0.67909036228988884</v>
      </c>
      <c r="Y11">
        <v>0.81522290414823684</v>
      </c>
      <c r="Z11">
        <v>0.76965253448295046</v>
      </c>
      <c r="AA11">
        <v>0.67439373347411646</v>
      </c>
      <c r="AB11">
        <v>0.54214524953984877</v>
      </c>
      <c r="AC11">
        <v>0.70777138729517108</v>
      </c>
      <c r="AD11">
        <v>0.74581955847928838</v>
      </c>
      <c r="AE11">
        <v>0.76741594056903528</v>
      </c>
    </row>
    <row r="12" spans="1:31" x14ac:dyDescent="0.25">
      <c r="A12" s="20">
        <v>10</v>
      </c>
      <c r="B12">
        <v>0.95053495668825572</v>
      </c>
      <c r="C12">
        <v>0.71255440596104647</v>
      </c>
      <c r="D12">
        <v>0.77920648509856894</v>
      </c>
      <c r="E12">
        <v>0.79704351580183486</v>
      </c>
      <c r="F12">
        <v>0.84505830930810144</v>
      </c>
      <c r="G12">
        <v>0.68800043637994879</v>
      </c>
      <c r="H12">
        <v>1.0503673966500164</v>
      </c>
      <c r="I12">
        <v>0.71105578777852096</v>
      </c>
      <c r="J12">
        <v>0.82637102080270197</v>
      </c>
      <c r="K12">
        <v>0.7624081388955436</v>
      </c>
      <c r="L12">
        <v>0.69420424780766798</v>
      </c>
      <c r="M12">
        <v>0.85108581342394607</v>
      </c>
      <c r="N12">
        <v>0.81318028578743418</v>
      </c>
      <c r="O12">
        <v>0.63293824242074881</v>
      </c>
      <c r="P12">
        <v>0.63341663048272046</v>
      </c>
      <c r="Q12">
        <v>0.69678798484085291</v>
      </c>
      <c r="R12">
        <v>0.75723979565334143</v>
      </c>
      <c r="S12">
        <v>0.77805637306142794</v>
      </c>
      <c r="T12">
        <v>0.80134785617679416</v>
      </c>
      <c r="U12">
        <v>0.83734172008310359</v>
      </c>
      <c r="V12">
        <v>0.85561731381789885</v>
      </c>
      <c r="W12">
        <v>0.61137620981446861</v>
      </c>
      <c r="X12">
        <v>0.89713542467681306</v>
      </c>
      <c r="Y12">
        <v>0.7306512063654903</v>
      </c>
      <c r="Z12">
        <v>0.81612415956334905</v>
      </c>
      <c r="AA12">
        <v>0.77490919742186937</v>
      </c>
      <c r="AB12">
        <v>0.65587578396265411</v>
      </c>
      <c r="AC12">
        <v>0.67506925059053269</v>
      </c>
      <c r="AD12">
        <v>0.87603064614966752</v>
      </c>
      <c r="AE12">
        <v>0.86783924785455724</v>
      </c>
    </row>
    <row r="14" spans="1:31" x14ac:dyDescent="0.25">
      <c r="A14" s="7" t="s">
        <v>17</v>
      </c>
      <c r="B14" s="7">
        <f>AVERAGE(B3:B12)</f>
        <v>1.0917780147823875</v>
      </c>
      <c r="C14" s="8">
        <f t="shared" ref="C14:AE14" si="0">AVERAGE(C3:C12)</f>
        <v>0.82099618340614633</v>
      </c>
      <c r="D14" s="8">
        <f t="shared" si="0"/>
        <v>0.92836062596343893</v>
      </c>
      <c r="E14" s="8">
        <f t="shared" si="0"/>
        <v>0.85554680166269448</v>
      </c>
      <c r="F14" s="8">
        <f t="shared" si="0"/>
        <v>0.95042068950836467</v>
      </c>
      <c r="G14" s="8">
        <f t="shared" si="0"/>
        <v>0.83693784140342975</v>
      </c>
      <c r="H14" s="8">
        <f t="shared" si="0"/>
        <v>1.0570000657310676</v>
      </c>
      <c r="I14" s="8">
        <f t="shared" si="0"/>
        <v>0.89994386028937989</v>
      </c>
      <c r="J14" s="8">
        <f t="shared" si="0"/>
        <v>0.85413021881944429</v>
      </c>
      <c r="K14" s="8">
        <f t="shared" si="0"/>
        <v>0.8362183598331725</v>
      </c>
      <c r="L14" s="8">
        <f t="shared" si="0"/>
        <v>0.77857678088313997</v>
      </c>
      <c r="M14" s="8">
        <f t="shared" si="0"/>
        <v>0.86597029414048854</v>
      </c>
      <c r="N14" s="8">
        <f t="shared" si="0"/>
        <v>0.85465563129236499</v>
      </c>
      <c r="O14" s="8">
        <f t="shared" si="0"/>
        <v>0.77123711095077441</v>
      </c>
      <c r="P14" s="9">
        <f t="shared" si="0"/>
        <v>0.78977970007233655</v>
      </c>
      <c r="Q14" s="8">
        <f t="shared" si="0"/>
        <v>0.48808537946058206</v>
      </c>
      <c r="R14" s="8">
        <f t="shared" si="0"/>
        <v>0.60190739908441104</v>
      </c>
      <c r="S14" s="8">
        <f t="shared" si="0"/>
        <v>0.52879679257509515</v>
      </c>
      <c r="T14" s="8">
        <f t="shared" si="0"/>
        <v>0.60516183542375168</v>
      </c>
      <c r="U14" s="8">
        <f t="shared" si="0"/>
        <v>0.55902581237868387</v>
      </c>
      <c r="V14" s="8">
        <f t="shared" si="0"/>
        <v>0.59972695221808581</v>
      </c>
      <c r="W14" s="8">
        <f t="shared" si="0"/>
        <v>0.47849138746735032</v>
      </c>
      <c r="X14" s="8">
        <f t="shared" si="0"/>
        <v>0.54251519030632722</v>
      </c>
      <c r="Y14" s="8">
        <f t="shared" si="0"/>
        <v>0.61221265068542952</v>
      </c>
      <c r="Z14" s="8">
        <f t="shared" si="0"/>
        <v>0.63844863876149849</v>
      </c>
      <c r="AA14" s="8">
        <f t="shared" si="0"/>
        <v>0.63687045106307716</v>
      </c>
      <c r="AB14" s="8">
        <f t="shared" si="0"/>
        <v>0.56702745927690246</v>
      </c>
      <c r="AC14" s="8">
        <f t="shared" si="0"/>
        <v>0.56837363166384947</v>
      </c>
      <c r="AD14" s="8">
        <f t="shared" si="0"/>
        <v>0.66415959206905106</v>
      </c>
      <c r="AE14" s="9">
        <f t="shared" si="0"/>
        <v>0.64304977103286887</v>
      </c>
    </row>
    <row r="15" spans="1:31" x14ac:dyDescent="0.25">
      <c r="A15" s="10" t="s">
        <v>19</v>
      </c>
      <c r="B15" s="10">
        <f>MEDIAN(B3:B12)</f>
        <v>0.90162022099110173</v>
      </c>
      <c r="C15" s="11">
        <f t="shared" ref="C15:AE15" si="1">MEDIAN(C3:C12)</f>
        <v>0.82354190011921435</v>
      </c>
      <c r="D15" s="11">
        <f t="shared" si="1"/>
        <v>0.85933680783267641</v>
      </c>
      <c r="E15" s="11">
        <f t="shared" si="1"/>
        <v>0.87141757361028138</v>
      </c>
      <c r="F15" s="11">
        <f t="shared" si="1"/>
        <v>0.89459607668718866</v>
      </c>
      <c r="G15" s="11">
        <f t="shared" si="1"/>
        <v>0.82336687689476495</v>
      </c>
      <c r="H15" s="11">
        <f t="shared" si="1"/>
        <v>1.0532810191465263</v>
      </c>
      <c r="I15" s="11">
        <f t="shared" si="1"/>
        <v>0.90680596985417616</v>
      </c>
      <c r="J15" s="11">
        <f t="shared" si="1"/>
        <v>0.83736508120345132</v>
      </c>
      <c r="K15" s="11">
        <f t="shared" si="1"/>
        <v>0.80698390874224213</v>
      </c>
      <c r="L15" s="11">
        <f t="shared" si="1"/>
        <v>0.71592783547895023</v>
      </c>
      <c r="M15" s="11">
        <f t="shared" si="1"/>
        <v>0.85643163734577965</v>
      </c>
      <c r="N15" s="11">
        <f t="shared" si="1"/>
        <v>0.86805221743708605</v>
      </c>
      <c r="O15" s="11">
        <f t="shared" si="1"/>
        <v>0.79616094899942591</v>
      </c>
      <c r="P15" s="12">
        <f t="shared" si="1"/>
        <v>0.78446965747270747</v>
      </c>
      <c r="Q15" s="11">
        <f t="shared" si="1"/>
        <v>0.58003003338790515</v>
      </c>
      <c r="R15" s="11">
        <f t="shared" si="1"/>
        <v>0.64242108987971558</v>
      </c>
      <c r="S15" s="11">
        <f t="shared" si="1"/>
        <v>0.56613573227998604</v>
      </c>
      <c r="T15" s="11">
        <f t="shared" si="1"/>
        <v>0.59512341135564784</v>
      </c>
      <c r="U15" s="11">
        <f t="shared" si="1"/>
        <v>0.5191455707025574</v>
      </c>
      <c r="V15" s="11">
        <f t="shared" si="1"/>
        <v>0.5919698994837137</v>
      </c>
      <c r="W15" s="11">
        <f t="shared" si="1"/>
        <v>0.47506199620105682</v>
      </c>
      <c r="X15" s="11">
        <f t="shared" si="1"/>
        <v>0.50776421673084704</v>
      </c>
      <c r="Y15" s="11">
        <f t="shared" si="1"/>
        <v>0.63352268937876044</v>
      </c>
      <c r="Z15" s="11">
        <f t="shared" si="1"/>
        <v>0.66966252830807427</v>
      </c>
      <c r="AA15" s="11">
        <f t="shared" si="1"/>
        <v>0.66000466969342186</v>
      </c>
      <c r="AB15" s="11">
        <f t="shared" si="1"/>
        <v>0.55196842709341576</v>
      </c>
      <c r="AC15" s="11">
        <f t="shared" si="1"/>
        <v>0.57763101275287143</v>
      </c>
      <c r="AD15" s="11">
        <f t="shared" si="1"/>
        <v>0.67869917713384142</v>
      </c>
      <c r="AE15" s="12">
        <f t="shared" si="1"/>
        <v>0.67150798399407652</v>
      </c>
    </row>
  </sheetData>
  <mergeCells count="2">
    <mergeCell ref="B1:P1"/>
    <mergeCell ref="Q1:A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"/>
  <sheetViews>
    <sheetView tabSelected="1" zoomScale="90" zoomScaleNormal="90" workbookViewId="0">
      <selection activeCell="K62" sqref="K62"/>
    </sheetView>
  </sheetViews>
  <sheetFormatPr defaultRowHeight="15" x14ac:dyDescent="0.25"/>
  <cols>
    <col min="31" max="31" width="11" customWidth="1"/>
    <col min="32" max="32" width="11.42578125" customWidth="1"/>
  </cols>
  <sheetData>
    <row r="1" spans="1:32" x14ac:dyDescent="0.25">
      <c r="C1" s="16" t="s">
        <v>0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5"/>
      <c r="R1" s="14" t="s">
        <v>1</v>
      </c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5"/>
    </row>
    <row r="2" spans="1:32" x14ac:dyDescent="0.25">
      <c r="C2" s="7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9" t="s">
        <v>16</v>
      </c>
      <c r="R2" s="25" t="s">
        <v>2</v>
      </c>
      <c r="S2" s="18" t="s">
        <v>3</v>
      </c>
      <c r="T2" s="18" t="s">
        <v>4</v>
      </c>
      <c r="U2" s="18" t="s">
        <v>5</v>
      </c>
      <c r="V2" s="18" t="s">
        <v>6</v>
      </c>
      <c r="W2" s="18" t="s">
        <v>7</v>
      </c>
      <c r="X2" s="18" t="s">
        <v>8</v>
      </c>
      <c r="Y2" s="18" t="s">
        <v>9</v>
      </c>
      <c r="Z2" s="18" t="s">
        <v>10</v>
      </c>
      <c r="AA2" s="18" t="s">
        <v>11</v>
      </c>
      <c r="AB2" s="18" t="s">
        <v>12</v>
      </c>
      <c r="AC2" s="18" t="s">
        <v>13</v>
      </c>
      <c r="AD2" s="18" t="s">
        <v>14</v>
      </c>
      <c r="AE2" s="18" t="s">
        <v>15</v>
      </c>
      <c r="AF2" s="19" t="s">
        <v>16</v>
      </c>
    </row>
    <row r="3" spans="1:32" x14ac:dyDescent="0.25">
      <c r="A3" s="21">
        <v>102</v>
      </c>
      <c r="B3" s="8">
        <v>1</v>
      </c>
      <c r="C3" s="7">
        <v>0.87732969397090577</v>
      </c>
      <c r="D3" s="8">
        <v>0.69981961293012274</v>
      </c>
      <c r="E3" s="8">
        <v>0.83406167299681755</v>
      </c>
      <c r="F3" s="8">
        <v>0.63031634520347546</v>
      </c>
      <c r="G3" s="8">
        <v>0.81085520115991339</v>
      </c>
      <c r="H3" s="8">
        <v>0.61960758202033284</v>
      </c>
      <c r="I3" s="8">
        <v>0.83890706983064178</v>
      </c>
      <c r="J3" s="8">
        <v>0.75384390495999465</v>
      </c>
      <c r="K3" s="8">
        <v>0.80404311652868887</v>
      </c>
      <c r="L3" s="8">
        <v>0.57510392834954904</v>
      </c>
      <c r="M3" s="8">
        <v>0.51687260759720433</v>
      </c>
      <c r="N3" s="8">
        <v>0.83097625125385899</v>
      </c>
      <c r="O3" s="8">
        <v>0.88404016250356721</v>
      </c>
      <c r="P3" s="8">
        <v>0.55903246157259656</v>
      </c>
      <c r="Q3" s="9">
        <v>0.52280410936936983</v>
      </c>
      <c r="R3" s="8">
        <v>0.84064188510813409</v>
      </c>
      <c r="S3" s="8">
        <v>0.78791612997113447</v>
      </c>
      <c r="T3" s="8">
        <v>0.74200464987379577</v>
      </c>
      <c r="U3" s="8">
        <v>0.84773012986620588</v>
      </c>
      <c r="V3" s="8">
        <v>0.78450097923768669</v>
      </c>
      <c r="W3" s="8">
        <v>0.831560270700344</v>
      </c>
      <c r="X3" s="8">
        <v>0.70687124734076301</v>
      </c>
      <c r="Y3" s="8">
        <v>0.85029070092788039</v>
      </c>
      <c r="Z3" s="8">
        <v>0.77072336994499835</v>
      </c>
      <c r="AA3" s="8">
        <v>0.88374192695325282</v>
      </c>
      <c r="AB3" s="8">
        <v>0.90728212984375467</v>
      </c>
      <c r="AC3" s="8">
        <v>0.72849150574140353</v>
      </c>
      <c r="AD3" s="8">
        <v>0.68290621232616677</v>
      </c>
      <c r="AE3" s="8">
        <v>0.88697175286616659</v>
      </c>
      <c r="AF3" s="9">
        <v>0.88020702197178613</v>
      </c>
    </row>
    <row r="4" spans="1:32" x14ac:dyDescent="0.25">
      <c r="A4" s="22"/>
      <c r="B4" s="5">
        <v>2</v>
      </c>
      <c r="C4" s="4">
        <v>1.0877572755870217</v>
      </c>
      <c r="D4" s="5">
        <v>0.72767302170440307</v>
      </c>
      <c r="E4" s="5">
        <v>0.97877446818227742</v>
      </c>
      <c r="F4" s="5">
        <v>0.7368659815487707</v>
      </c>
      <c r="G4" s="5">
        <v>1.0791078942821628</v>
      </c>
      <c r="H4" s="5">
        <v>0.8115084982882701</v>
      </c>
      <c r="I4" s="5">
        <v>1.0859223045565538</v>
      </c>
      <c r="J4" s="5">
        <v>1.0353752942773939</v>
      </c>
      <c r="K4" s="5">
        <v>1.0083029151292615</v>
      </c>
      <c r="L4" s="5">
        <v>0.809320457735068</v>
      </c>
      <c r="M4" s="5">
        <v>0.60811092758462526</v>
      </c>
      <c r="N4" s="5">
        <v>0.66904371258037643</v>
      </c>
      <c r="O4" s="5">
        <v>0.57471839899496302</v>
      </c>
      <c r="P4" s="5">
        <v>0.63382178241403153</v>
      </c>
      <c r="Q4" s="6">
        <v>0.68854364640619059</v>
      </c>
      <c r="R4" s="5">
        <v>0.56328044092622065</v>
      </c>
      <c r="S4" s="5">
        <v>0.78119370352699269</v>
      </c>
      <c r="T4" s="5">
        <v>0.63063522349796164</v>
      </c>
      <c r="U4" s="5">
        <v>0.79117478836859689</v>
      </c>
      <c r="V4" s="5">
        <v>0.67221373810847962</v>
      </c>
      <c r="W4" s="5">
        <v>0.77119225329220897</v>
      </c>
      <c r="X4" s="5">
        <v>0.52351631127818943</v>
      </c>
      <c r="Y4" s="5">
        <v>0.62681416497908427</v>
      </c>
      <c r="Z4" s="5">
        <v>0.80984336778008936</v>
      </c>
      <c r="AA4" s="5">
        <v>0.85981025586323756</v>
      </c>
      <c r="AB4" s="5">
        <v>0.84480224733876907</v>
      </c>
      <c r="AC4" s="5">
        <v>0.83204571592264354</v>
      </c>
      <c r="AD4" s="5">
        <v>0.88803175005939627</v>
      </c>
      <c r="AE4" s="5">
        <v>0.83498295825491153</v>
      </c>
      <c r="AF4" s="6">
        <v>0.85109870900541507</v>
      </c>
    </row>
    <row r="5" spans="1:32" x14ac:dyDescent="0.25">
      <c r="A5" s="22"/>
      <c r="B5" s="5">
        <v>3</v>
      </c>
      <c r="C5" s="4">
        <v>0.83876771833221553</v>
      </c>
      <c r="D5" s="5">
        <v>0.76397791958643368</v>
      </c>
      <c r="E5" s="5">
        <v>0.57614908657548791</v>
      </c>
      <c r="F5" s="5">
        <v>0.62956981943918844</v>
      </c>
      <c r="G5" s="5">
        <v>0.37319604161290143</v>
      </c>
      <c r="H5" s="5">
        <v>0.58779255359660298</v>
      </c>
      <c r="I5" s="5">
        <v>0.95952776328466749</v>
      </c>
      <c r="J5" s="5">
        <v>0.71403145804433799</v>
      </c>
      <c r="K5" s="5">
        <v>0.44709897633857326</v>
      </c>
      <c r="L5" s="5">
        <v>0.36159394958784702</v>
      </c>
      <c r="M5" s="5">
        <v>0.64788217878644949</v>
      </c>
      <c r="N5" s="5">
        <v>0.73563533724215879</v>
      </c>
      <c r="O5" s="5">
        <v>0.74663545402373621</v>
      </c>
      <c r="P5" s="5">
        <v>0.54822735458566818</v>
      </c>
      <c r="Q5" s="6">
        <v>0.71205738947217112</v>
      </c>
      <c r="R5" s="5">
        <v>0.70946833519086816</v>
      </c>
      <c r="S5" s="5">
        <v>0.70799658315884006</v>
      </c>
      <c r="T5" s="5">
        <v>0.68171963309810013</v>
      </c>
      <c r="U5" s="5">
        <v>0.77323347816717869</v>
      </c>
      <c r="V5" s="5">
        <v>0.80100996449446982</v>
      </c>
      <c r="W5" s="5">
        <v>0.7410281190423017</v>
      </c>
      <c r="X5" s="5">
        <v>0.60523365958197262</v>
      </c>
      <c r="Y5" s="5">
        <v>0.52801990095592133</v>
      </c>
      <c r="Z5" s="5">
        <v>0.86606748863348426</v>
      </c>
      <c r="AA5" s="5">
        <v>0.88529159551745207</v>
      </c>
      <c r="AB5" s="5">
        <v>0.77723367248254471</v>
      </c>
      <c r="AC5" s="5">
        <v>0.67128593390046598</v>
      </c>
      <c r="AD5" s="5">
        <v>0.69554888390902148</v>
      </c>
      <c r="AE5" s="5">
        <v>0.83301586569640895</v>
      </c>
      <c r="AF5" s="6">
        <v>0.73765645883551756</v>
      </c>
    </row>
    <row r="6" spans="1:32" x14ac:dyDescent="0.25">
      <c r="A6" s="22"/>
      <c r="B6" s="5">
        <v>4</v>
      </c>
      <c r="C6" s="4">
        <v>1.7548413040065998</v>
      </c>
      <c r="D6" s="5">
        <v>1.1720063491341461</v>
      </c>
      <c r="E6" s="5">
        <v>0.86931548662477343</v>
      </c>
      <c r="F6" s="5">
        <v>0.93056344836954374</v>
      </c>
      <c r="G6" s="5">
        <v>1.153055461203081</v>
      </c>
      <c r="H6" s="5">
        <v>1.0510664111317687</v>
      </c>
      <c r="I6" s="5">
        <v>0.98923413121447956</v>
      </c>
      <c r="J6" s="5">
        <v>1.1001742286262359</v>
      </c>
      <c r="K6" s="5">
        <v>1.0398412824358101</v>
      </c>
      <c r="L6" s="5">
        <v>0.83318706951250365</v>
      </c>
      <c r="M6" s="5">
        <v>1.0686904088279028</v>
      </c>
      <c r="N6" s="5">
        <v>1.1385429332004058</v>
      </c>
      <c r="O6" s="5">
        <v>1.0820637805491951</v>
      </c>
      <c r="P6" s="5">
        <v>0.86661349526384379</v>
      </c>
      <c r="Q6" s="6">
        <v>0.86245251049695471</v>
      </c>
      <c r="R6" s="5">
        <v>0.13630949318095709</v>
      </c>
      <c r="S6" s="5">
        <v>0.53475055634351198</v>
      </c>
      <c r="T6" s="5">
        <v>0.69914129130778191</v>
      </c>
      <c r="U6" s="5">
        <v>0.68740242582424027</v>
      </c>
      <c r="V6" s="5">
        <v>0.62147546178292157</v>
      </c>
      <c r="W6" s="5">
        <v>0.60187550442327342</v>
      </c>
      <c r="X6" s="5">
        <v>0.60209196370116036</v>
      </c>
      <c r="Y6" s="5">
        <v>0.55044144222581382</v>
      </c>
      <c r="Z6" s="5">
        <v>0.62681231998437603</v>
      </c>
      <c r="AA6" s="5">
        <v>0.74954896728125087</v>
      </c>
      <c r="AB6" s="5">
        <v>0.54898538402219088</v>
      </c>
      <c r="AC6" s="5">
        <v>0.47368126371419972</v>
      </c>
      <c r="AD6" s="5">
        <v>0.52927355911948959</v>
      </c>
      <c r="AE6" s="5">
        <v>0.68412225210434685</v>
      </c>
      <c r="AF6" s="6">
        <v>0.71350145892205297</v>
      </c>
    </row>
    <row r="7" spans="1:32" x14ac:dyDescent="0.25">
      <c r="A7" s="22"/>
      <c r="B7" s="5">
        <v>5</v>
      </c>
      <c r="C7" s="4">
        <v>1.1676454362910929</v>
      </c>
      <c r="D7" s="5">
        <v>0.96096010088552419</v>
      </c>
      <c r="E7" s="5">
        <v>0.72531164196778208</v>
      </c>
      <c r="F7" s="5">
        <v>0.67589143216902814</v>
      </c>
      <c r="G7" s="5">
        <v>0.93724080786601127</v>
      </c>
      <c r="H7" s="5">
        <v>0.69582616033250966</v>
      </c>
      <c r="I7" s="5">
        <v>0.92615732558998864</v>
      </c>
      <c r="J7" s="5">
        <v>0.99063273041732447</v>
      </c>
      <c r="K7" s="5">
        <v>1.03742694003839</v>
      </c>
      <c r="L7" s="5">
        <v>0.79096047279973714</v>
      </c>
      <c r="M7" s="5">
        <v>0.8716901834457873</v>
      </c>
      <c r="N7" s="5">
        <v>0.93486696443669648</v>
      </c>
      <c r="O7" s="5">
        <v>0.94809633375882063</v>
      </c>
      <c r="P7" s="5">
        <v>0.59691067683127164</v>
      </c>
      <c r="Q7" s="6">
        <v>0.96561249239217761</v>
      </c>
      <c r="R7" s="5">
        <v>0.58847903012791025</v>
      </c>
      <c r="S7" s="5">
        <v>0.67173909958326294</v>
      </c>
      <c r="T7" s="5">
        <v>0.83438768644473826</v>
      </c>
      <c r="U7" s="5">
        <v>0.84400872466056032</v>
      </c>
      <c r="V7" s="5">
        <v>0.85280470470677816</v>
      </c>
      <c r="W7" s="5">
        <v>0.87081448619810664</v>
      </c>
      <c r="X7" s="5">
        <v>0.72132284041373185</v>
      </c>
      <c r="Y7" s="5">
        <v>0.73506975427168064</v>
      </c>
      <c r="Z7" s="5">
        <v>0.71984824291459204</v>
      </c>
      <c r="AA7" s="5">
        <v>0.830429619807317</v>
      </c>
      <c r="AB7" s="5">
        <v>0.7567330807434679</v>
      </c>
      <c r="AC7" s="5">
        <v>0.7100852598885532</v>
      </c>
      <c r="AD7" s="5">
        <v>0.68218067345425104</v>
      </c>
      <c r="AE7" s="5">
        <v>0.89528125607721709</v>
      </c>
      <c r="AF7" s="6">
        <v>0.72233796009301598</v>
      </c>
    </row>
    <row r="8" spans="1:32" x14ac:dyDescent="0.25">
      <c r="A8" s="22"/>
      <c r="B8" s="5">
        <v>6</v>
      </c>
      <c r="C8" s="4">
        <v>0.79639727876805722</v>
      </c>
      <c r="D8" s="5">
        <v>0.68746520705075187</v>
      </c>
      <c r="E8" s="5">
        <v>0.62289540190916748</v>
      </c>
      <c r="F8" s="5">
        <v>0.63448188511591885</v>
      </c>
      <c r="G8" s="5">
        <v>0.61180773418854117</v>
      </c>
      <c r="H8" s="5">
        <v>0.62544637716054452</v>
      </c>
      <c r="I8" s="5">
        <v>0.82583999805501052</v>
      </c>
      <c r="J8" s="5">
        <v>0.6913183058476029</v>
      </c>
      <c r="K8" s="5">
        <v>0.8636718028241398</v>
      </c>
      <c r="L8" s="5">
        <v>0.76556449312234087</v>
      </c>
      <c r="M8" s="5">
        <v>0.65865089534245436</v>
      </c>
      <c r="N8" s="5">
        <v>0.63446311474623962</v>
      </c>
      <c r="O8" s="5">
        <v>0.71341852632127278</v>
      </c>
      <c r="P8" s="5">
        <v>0.57135886194339358</v>
      </c>
      <c r="Q8" s="6">
        <v>0.69636290385084654</v>
      </c>
      <c r="R8" s="5">
        <v>0.53357396846375926</v>
      </c>
      <c r="S8" s="5">
        <v>0.61813650970675293</v>
      </c>
      <c r="T8" s="5">
        <v>0.69007173865612537</v>
      </c>
      <c r="U8" s="5">
        <v>0.65109134015049885</v>
      </c>
      <c r="V8" s="5">
        <v>0.6749655319550224</v>
      </c>
      <c r="W8" s="5">
        <v>0.69504078896795507</v>
      </c>
      <c r="X8" s="5">
        <v>0.79627358276208604</v>
      </c>
      <c r="Y8" s="5">
        <v>0.5932424387376829</v>
      </c>
      <c r="Z8" s="5">
        <v>0.46962134166894565</v>
      </c>
      <c r="AA8" s="5">
        <v>0.5393112069430569</v>
      </c>
      <c r="AB8" s="5">
        <v>0.64428796055564874</v>
      </c>
      <c r="AC8" s="5">
        <v>0.68446883463026209</v>
      </c>
      <c r="AD8" s="5">
        <v>0.61480498766560898</v>
      </c>
      <c r="AE8" s="5">
        <v>0.72475902453795416</v>
      </c>
      <c r="AF8" s="6">
        <v>0.61718806862575804</v>
      </c>
    </row>
    <row r="9" spans="1:32" x14ac:dyDescent="0.25">
      <c r="A9" s="22"/>
      <c r="B9" s="5">
        <v>7</v>
      </c>
      <c r="C9" s="4">
        <v>0.90963742480282572</v>
      </c>
      <c r="D9" s="5">
        <v>0.99187688536598795</v>
      </c>
      <c r="E9" s="5">
        <v>0.87817586308367079</v>
      </c>
      <c r="F9" s="5">
        <v>0.94494494666078288</v>
      </c>
      <c r="G9" s="5">
        <v>0.76913369567087175</v>
      </c>
      <c r="H9" s="5">
        <v>0.94220625639170241</v>
      </c>
      <c r="I9" s="5">
        <v>1.0923693788756994</v>
      </c>
      <c r="J9" s="5">
        <v>0.63878634925928091</v>
      </c>
      <c r="K9" s="5">
        <v>0.80766744210586638</v>
      </c>
      <c r="L9" s="5">
        <v>0.89250826983227449</v>
      </c>
      <c r="M9" s="5">
        <v>1.0102725439861098</v>
      </c>
      <c r="N9" s="5">
        <v>0.94941290150088709</v>
      </c>
      <c r="O9" s="5">
        <v>0.77569560245202918</v>
      </c>
      <c r="P9" s="5">
        <v>0.90312776158784225</v>
      </c>
      <c r="Q9" s="6">
        <v>0.90160866943956519</v>
      </c>
      <c r="R9" s="5">
        <v>0.47079724552915514</v>
      </c>
      <c r="S9" s="5">
        <v>0.27770385559106736</v>
      </c>
      <c r="T9" s="5">
        <v>0.37433182836523832</v>
      </c>
      <c r="U9" s="5">
        <v>0.3278137580896538</v>
      </c>
      <c r="V9" s="5">
        <v>0.47815611681224551</v>
      </c>
      <c r="W9" s="5">
        <v>0.35367848706702049</v>
      </c>
      <c r="X9" s="5">
        <v>0.36049706431837458</v>
      </c>
      <c r="Y9" s="5">
        <v>0.63839136002848995</v>
      </c>
      <c r="Z9" s="5">
        <v>0.44110119801693892</v>
      </c>
      <c r="AA9" s="5">
        <v>0.32491808337736811</v>
      </c>
      <c r="AB9" s="5">
        <v>0.29814909910191217</v>
      </c>
      <c r="AC9" s="5">
        <v>0.31117990041407906</v>
      </c>
      <c r="AD9" s="5">
        <v>0.46393050327721935</v>
      </c>
      <c r="AE9" s="5">
        <v>0.37215652593675747</v>
      </c>
      <c r="AF9" s="6">
        <v>0.42116365968133962</v>
      </c>
    </row>
    <row r="10" spans="1:32" x14ac:dyDescent="0.25">
      <c r="A10" s="22"/>
      <c r="B10" s="5">
        <v>8</v>
      </c>
      <c r="C10" s="4">
        <v>1.2855008280957452</v>
      </c>
      <c r="D10" s="5">
        <v>1.1804420567894827</v>
      </c>
      <c r="E10" s="5">
        <v>1.1344407424286207</v>
      </c>
      <c r="F10" s="5">
        <v>1.1513940440047847</v>
      </c>
      <c r="G10" s="5">
        <v>1.1721325515653083</v>
      </c>
      <c r="H10" s="5">
        <v>1.1480235816942088</v>
      </c>
      <c r="I10" s="5">
        <v>1.6059872461715765</v>
      </c>
      <c r="J10" s="5">
        <v>1.1842203009944494</v>
      </c>
      <c r="K10" s="5">
        <v>0.94024951920495758</v>
      </c>
      <c r="L10" s="5">
        <v>0.97551616401081986</v>
      </c>
      <c r="M10" s="5">
        <v>1.207827349333161</v>
      </c>
      <c r="N10" s="5">
        <v>1.2372691588353271</v>
      </c>
      <c r="O10" s="5">
        <v>1.2185963692260862</v>
      </c>
      <c r="P10" s="5">
        <v>1.1976332756990411</v>
      </c>
      <c r="Q10" s="6">
        <v>1.2880548510640433</v>
      </c>
      <c r="R10" s="5">
        <v>0.34622294075939897</v>
      </c>
      <c r="S10" s="5">
        <v>0.42036836234782743</v>
      </c>
      <c r="T10" s="5">
        <v>0.38462896120433193</v>
      </c>
      <c r="U10" s="5">
        <v>0.4228985677030152</v>
      </c>
      <c r="V10" s="5">
        <v>0.34448154379819279</v>
      </c>
      <c r="W10" s="5">
        <v>0.397797537021019</v>
      </c>
      <c r="X10" s="5">
        <v>0.10975047931573187</v>
      </c>
      <c r="Y10" s="5">
        <v>0.35522666390118807</v>
      </c>
      <c r="Z10" s="5">
        <v>0.57655524516351209</v>
      </c>
      <c r="AA10" s="5">
        <v>0.54919790802348578</v>
      </c>
      <c r="AB10" s="5">
        <v>0.41072774723052891</v>
      </c>
      <c r="AC10" s="5">
        <v>0.33486413696907069</v>
      </c>
      <c r="AD10" s="5">
        <v>0.33900592745394814</v>
      </c>
      <c r="AE10" s="5">
        <v>0.36477116772934765</v>
      </c>
      <c r="AF10" s="6">
        <v>0.35105468209011526</v>
      </c>
    </row>
    <row r="11" spans="1:32" x14ac:dyDescent="0.25">
      <c r="A11" s="22"/>
      <c r="B11" s="5">
        <v>9</v>
      </c>
      <c r="C11" s="4">
        <v>1.3928573733459755</v>
      </c>
      <c r="D11" s="5">
        <v>0.94218505900685456</v>
      </c>
      <c r="E11" s="5">
        <v>0.69979673011400256</v>
      </c>
      <c r="F11" s="5">
        <v>1.9312553997990964</v>
      </c>
      <c r="G11" s="5">
        <v>0.78505793334027274</v>
      </c>
      <c r="H11" s="5">
        <v>0.85328957425952401</v>
      </c>
      <c r="I11" s="5">
        <v>0.63713617140837064</v>
      </c>
      <c r="J11" s="5">
        <v>0.8819327260813794</v>
      </c>
      <c r="K11" s="5">
        <v>0.96657222933868214</v>
      </c>
      <c r="L11" s="5">
        <v>0.89152954535641538</v>
      </c>
      <c r="M11" s="5">
        <v>0.85204720813628243</v>
      </c>
      <c r="N11" s="5">
        <v>0.83103717289165235</v>
      </c>
      <c r="O11" s="5">
        <v>0.88824318969863214</v>
      </c>
      <c r="P11" s="5">
        <v>1.0087474235610221</v>
      </c>
      <c r="Q11" s="6">
        <v>0.99222796475280817</v>
      </c>
      <c r="R11" s="5">
        <v>0.23869686923356165</v>
      </c>
      <c r="S11" s="5">
        <v>0.57214875585496183</v>
      </c>
      <c r="T11" s="5">
        <v>0.81011668282050442</v>
      </c>
      <c r="U11" s="5">
        <v>0.42726207233212793</v>
      </c>
      <c r="V11" s="5">
        <v>0.82521525330768475</v>
      </c>
      <c r="W11" s="5">
        <v>0.76085531930951522</v>
      </c>
      <c r="X11" s="5">
        <v>0.86025915577719636</v>
      </c>
      <c r="Y11" s="5">
        <v>0.62206785008183851</v>
      </c>
      <c r="Z11" s="5">
        <v>0.54695261727196209</v>
      </c>
      <c r="AA11" s="5">
        <v>0.63838119673297622</v>
      </c>
      <c r="AB11" s="5">
        <v>0.64359807731274121</v>
      </c>
      <c r="AC11" s="5">
        <v>0.69333195947443138</v>
      </c>
      <c r="AD11" s="5">
        <v>0.65296734116983868</v>
      </c>
      <c r="AE11" s="5">
        <v>0.64622804633120312</v>
      </c>
      <c r="AF11" s="6">
        <v>0.64181205429859278</v>
      </c>
    </row>
    <row r="12" spans="1:32" x14ac:dyDescent="0.25">
      <c r="A12" s="23"/>
      <c r="B12" s="11">
        <v>10</v>
      </c>
      <c r="C12" s="10">
        <v>1.4338904528145833</v>
      </c>
      <c r="D12" s="11">
        <v>0.68236490103469083</v>
      </c>
      <c r="E12" s="11">
        <v>0.56691344519482567</v>
      </c>
      <c r="F12" s="11">
        <v>0.81898665990356645</v>
      </c>
      <c r="G12" s="11">
        <v>0.6426374252468624</v>
      </c>
      <c r="H12" s="11">
        <v>0.86109012183231914</v>
      </c>
      <c r="I12" s="11">
        <v>0.77876681968641936</v>
      </c>
      <c r="J12" s="11">
        <v>0.68985843958501125</v>
      </c>
      <c r="K12" s="11">
        <v>0.73183619711380765</v>
      </c>
      <c r="L12" s="11">
        <v>0.68925292269795047</v>
      </c>
      <c r="M12" s="11">
        <v>0.93058094085580922</v>
      </c>
      <c r="N12" s="11">
        <v>0.80489254451722725</v>
      </c>
      <c r="O12" s="11">
        <v>0.69888016906953865</v>
      </c>
      <c r="P12" s="11">
        <v>0.72741083821174723</v>
      </c>
      <c r="Q12" s="12">
        <v>0.75311875182990451</v>
      </c>
      <c r="R12" s="11">
        <v>0.26481053162432411</v>
      </c>
      <c r="S12" s="11">
        <v>0.6367518893905757</v>
      </c>
      <c r="T12" s="11">
        <v>0.77689233799259083</v>
      </c>
      <c r="U12" s="11">
        <v>0.47992396744152332</v>
      </c>
      <c r="V12" s="11">
        <v>0.75521831035455456</v>
      </c>
      <c r="W12" s="11">
        <v>0.5171685114536605</v>
      </c>
      <c r="X12" s="11">
        <v>0.63232264607007427</v>
      </c>
      <c r="Y12" s="11">
        <v>0.70624645227147509</v>
      </c>
      <c r="Z12" s="11">
        <v>0.67687255767634491</v>
      </c>
      <c r="AA12" s="11">
        <v>0.67224833044116272</v>
      </c>
      <c r="AB12" s="11">
        <v>0.31045761792312354</v>
      </c>
      <c r="AC12" s="11">
        <v>0.48920191391631745</v>
      </c>
      <c r="AD12" s="11">
        <v>0.62170286212624404</v>
      </c>
      <c r="AE12" s="11">
        <v>0.56123572525158205</v>
      </c>
      <c r="AF12" s="12">
        <v>0.52854739175721488</v>
      </c>
    </row>
    <row r="13" spans="1:32" x14ac:dyDescent="0.25">
      <c r="A13" s="21">
        <v>459</v>
      </c>
      <c r="B13" s="8">
        <v>1</v>
      </c>
      <c r="C13" s="7">
        <v>1.1186813746009887</v>
      </c>
      <c r="D13" s="8">
        <v>1.0525752020561681</v>
      </c>
      <c r="E13" s="8">
        <v>1.0832330852889727</v>
      </c>
      <c r="F13" s="8">
        <v>1.0886586401092402</v>
      </c>
      <c r="G13" s="8">
        <v>1.1211023557141577</v>
      </c>
      <c r="H13" s="8">
        <v>1.0386602866355052</v>
      </c>
      <c r="I13" s="8">
        <v>1.1454858278056814</v>
      </c>
      <c r="J13" s="8">
        <v>1.1348554974092517</v>
      </c>
      <c r="K13" s="8">
        <v>1.0958987630150498</v>
      </c>
      <c r="L13" s="8">
        <v>1.1214298864525591</v>
      </c>
      <c r="M13" s="8">
        <v>0.98917860852135797</v>
      </c>
      <c r="N13" s="8">
        <v>1.0967126043405051</v>
      </c>
      <c r="O13" s="8">
        <v>1.1169308828173226</v>
      </c>
      <c r="P13" s="8">
        <v>1.0561207832075048</v>
      </c>
      <c r="Q13" s="9">
        <v>1.0902319538895533</v>
      </c>
      <c r="R13" s="8">
        <v>0.41276944902674279</v>
      </c>
      <c r="S13" s="8">
        <v>0.42342409900876982</v>
      </c>
      <c r="T13" s="8">
        <v>0.37231294855782582</v>
      </c>
      <c r="U13" s="8">
        <v>0.3577931284716705</v>
      </c>
      <c r="V13" s="8">
        <v>0.37120704880652794</v>
      </c>
      <c r="W13" s="8">
        <v>0.42000773137253683</v>
      </c>
      <c r="X13" s="8">
        <v>0.30572310062106617</v>
      </c>
      <c r="Y13" s="8">
        <v>0.29949328354449672</v>
      </c>
      <c r="Z13" s="8">
        <v>0.34894155677504324</v>
      </c>
      <c r="AA13" s="8">
        <v>0.32065073251569326</v>
      </c>
      <c r="AB13" s="8">
        <v>0.47156881623104208</v>
      </c>
      <c r="AC13" s="8">
        <v>0.36325618128315285</v>
      </c>
      <c r="AD13" s="8">
        <v>0.32937449288979936</v>
      </c>
      <c r="AE13" s="8">
        <v>0.39864402978275892</v>
      </c>
      <c r="AF13" s="9">
        <v>0.36966944130488011</v>
      </c>
    </row>
    <row r="14" spans="1:32" x14ac:dyDescent="0.25">
      <c r="A14" s="22"/>
      <c r="B14" s="5">
        <v>2</v>
      </c>
      <c r="C14" s="4">
        <v>1.1541999584704765</v>
      </c>
      <c r="D14" s="5">
        <v>1.2220486601385465</v>
      </c>
      <c r="E14" s="5">
        <v>1.0496966579407596</v>
      </c>
      <c r="F14" s="5">
        <v>1.1110606413752431</v>
      </c>
      <c r="G14" s="5">
        <v>1.1108735948495672</v>
      </c>
      <c r="H14" s="5">
        <v>1.0923898279838489</v>
      </c>
      <c r="I14" s="5">
        <v>1.3808484264661949</v>
      </c>
      <c r="J14" s="5">
        <v>1.1762683934091458</v>
      </c>
      <c r="K14" s="5">
        <v>1.3480534280309826</v>
      </c>
      <c r="L14" s="5">
        <v>1.280776832511263</v>
      </c>
      <c r="M14" s="5">
        <v>1.2664116460309551</v>
      </c>
      <c r="N14" s="5">
        <v>1.3196033630678261</v>
      </c>
      <c r="O14" s="5">
        <v>1.2764044048950551</v>
      </c>
      <c r="P14" s="5">
        <v>1.1749153022332435</v>
      </c>
      <c r="Q14" s="6">
        <v>1.1393902835706693</v>
      </c>
      <c r="R14" s="5">
        <v>0.34148525620513731</v>
      </c>
      <c r="S14" s="5">
        <v>0.25732826266150083</v>
      </c>
      <c r="T14" s="5">
        <v>0.36457339976071013</v>
      </c>
      <c r="U14" s="5">
        <v>0.28058437315078866</v>
      </c>
      <c r="V14" s="5">
        <v>0.27168354105439291</v>
      </c>
      <c r="W14" s="5">
        <v>0.33294409175883644</v>
      </c>
      <c r="X14" s="5">
        <v>0.17573403841803734</v>
      </c>
      <c r="Y14" s="5">
        <v>0.23100588348258932</v>
      </c>
      <c r="Z14" s="5">
        <v>4.0784296131860624E-2</v>
      </c>
      <c r="AA14" s="5">
        <v>0.10299117355272139</v>
      </c>
      <c r="AB14" s="5">
        <v>0.21152985805404773</v>
      </c>
      <c r="AC14" s="5">
        <v>0.10760155359239129</v>
      </c>
      <c r="AD14" s="5">
        <v>0.16081991218603164</v>
      </c>
      <c r="AE14" s="5">
        <v>0.24319828468128471</v>
      </c>
      <c r="AF14" s="6">
        <v>0.30346510077635769</v>
      </c>
    </row>
    <row r="15" spans="1:32" x14ac:dyDescent="0.25">
      <c r="A15" s="22"/>
      <c r="B15" s="5">
        <v>3</v>
      </c>
      <c r="C15" s="4">
        <v>1.2209564642112158</v>
      </c>
      <c r="D15" s="5">
        <v>1.0260387545533476</v>
      </c>
      <c r="E15" s="5">
        <v>0.86574199206851976</v>
      </c>
      <c r="F15" s="5">
        <v>1.0150958626803526</v>
      </c>
      <c r="G15" s="5">
        <v>1.0394569627421217</v>
      </c>
      <c r="H15" s="5">
        <v>1.0138891481097392</v>
      </c>
      <c r="I15" s="5">
        <v>0.97917507310643903</v>
      </c>
      <c r="J15" s="5">
        <v>1.0061553634427516</v>
      </c>
      <c r="K15" s="5">
        <v>1.0087191184841986</v>
      </c>
      <c r="L15" s="5">
        <v>1.0296665532338052</v>
      </c>
      <c r="M15" s="5">
        <v>0.9056096347485828</v>
      </c>
      <c r="N15" s="5">
        <v>1.1790253346108843</v>
      </c>
      <c r="O15" s="5">
        <v>1.1754827760799782</v>
      </c>
      <c r="P15" s="5">
        <v>1.000991631115788</v>
      </c>
      <c r="Q15" s="6">
        <v>0.99250820846161869</v>
      </c>
      <c r="R15" s="5">
        <v>0.31881383568079463</v>
      </c>
      <c r="S15" s="5">
        <v>0.56110790664948385</v>
      </c>
      <c r="T15" s="5">
        <v>0.71900057836910636</v>
      </c>
      <c r="U15" s="5">
        <v>0.64067371492598557</v>
      </c>
      <c r="V15" s="5">
        <v>0.62414078087925395</v>
      </c>
      <c r="W15" s="5">
        <v>0.61148040877893139</v>
      </c>
      <c r="X15" s="5">
        <v>0.57237244070644555</v>
      </c>
      <c r="Y15" s="5">
        <v>0.60588811543163623</v>
      </c>
      <c r="Z15" s="5">
        <v>0.62893843863786725</v>
      </c>
      <c r="AA15" s="5">
        <v>0.58820811219649527</v>
      </c>
      <c r="AB15" s="5">
        <v>0.64931703304116317</v>
      </c>
      <c r="AC15" s="5">
        <v>0.37455997973973515</v>
      </c>
      <c r="AD15" s="5">
        <v>0.38149621209058415</v>
      </c>
      <c r="AE15" s="5">
        <v>0.59827866625273762</v>
      </c>
      <c r="AF15" s="6">
        <v>0.598994295858571</v>
      </c>
    </row>
    <row r="16" spans="1:32" x14ac:dyDescent="0.25">
      <c r="A16" s="22"/>
      <c r="B16" s="5">
        <v>4</v>
      </c>
      <c r="C16" s="4">
        <v>2.3403869560072348</v>
      </c>
      <c r="D16" s="5">
        <v>0.77468274504868551</v>
      </c>
      <c r="E16" s="5">
        <v>1.4843019460649678</v>
      </c>
      <c r="F16" s="5">
        <v>0.79601854396893079</v>
      </c>
      <c r="G16" s="5">
        <v>1.4664479942391129</v>
      </c>
      <c r="H16" s="5">
        <v>0.70951838000705336</v>
      </c>
      <c r="I16" s="5">
        <v>0.76503398339578121</v>
      </c>
      <c r="J16" s="5">
        <v>1.1150286991822229</v>
      </c>
      <c r="K16" s="5">
        <v>0.94320769525292425</v>
      </c>
      <c r="L16" s="5">
        <v>0.93169512080472605</v>
      </c>
      <c r="M16" s="5">
        <v>0.75805195057655284</v>
      </c>
      <c r="N16" s="5">
        <v>0.73859223124930939</v>
      </c>
      <c r="O16" s="5">
        <v>0.71872092351435901</v>
      </c>
      <c r="P16" s="5">
        <v>0.80286748457492463</v>
      </c>
      <c r="Q16" s="6">
        <v>0.76136537019302819</v>
      </c>
      <c r="R16" s="5">
        <v>8.981906166628624E-2</v>
      </c>
      <c r="S16" s="5">
        <v>0.73234778422641489</v>
      </c>
      <c r="T16" s="5">
        <v>2.1232273229805129E-2</v>
      </c>
      <c r="U16" s="5">
        <v>0.76350366436971051</v>
      </c>
      <c r="V16" s="5">
        <v>2.6209255119312016E-2</v>
      </c>
      <c r="W16" s="5">
        <v>0.75911772941555189</v>
      </c>
      <c r="X16" s="5">
        <v>0.71912045651480061</v>
      </c>
      <c r="Y16" s="5">
        <v>0.53421216365054502</v>
      </c>
      <c r="Z16" s="5">
        <v>0.64646290994142752</v>
      </c>
      <c r="AA16" s="5">
        <v>0.73209598954802546</v>
      </c>
      <c r="AB16" s="5">
        <v>0.73325135723019697</v>
      </c>
      <c r="AC16" s="5">
        <v>0.74923193727391801</v>
      </c>
      <c r="AD16" s="5">
        <v>0.79235256339226434</v>
      </c>
      <c r="AE16" s="5">
        <v>0.787160836670317</v>
      </c>
      <c r="AF16" s="6">
        <v>0.78389863561846285</v>
      </c>
    </row>
    <row r="17" spans="1:32" x14ac:dyDescent="0.25">
      <c r="A17" s="22"/>
      <c r="B17" s="5">
        <v>5</v>
      </c>
      <c r="C17" s="4">
        <v>1.5300955138766514</v>
      </c>
      <c r="D17" s="5">
        <v>1.1059230094053412</v>
      </c>
      <c r="E17" s="5">
        <v>1.1029936794338018</v>
      </c>
      <c r="F17" s="5">
        <v>0.87367141348254218</v>
      </c>
      <c r="G17" s="5">
        <v>1.030098907551398</v>
      </c>
      <c r="H17" s="5">
        <v>1.1285347120826634</v>
      </c>
      <c r="I17" s="5">
        <v>1.3641970555033156</v>
      </c>
      <c r="J17" s="5">
        <v>0.94379199685806481</v>
      </c>
      <c r="K17" s="5">
        <v>0.97308637092188088</v>
      </c>
      <c r="L17" s="5">
        <v>0.92520021802765295</v>
      </c>
      <c r="M17" s="5">
        <v>0.94396836698363484</v>
      </c>
      <c r="N17" s="5">
        <v>1.1358062376621876</v>
      </c>
      <c r="O17" s="5">
        <v>1.0314858046073634</v>
      </c>
      <c r="P17" s="5">
        <v>0.84014463171324461</v>
      </c>
      <c r="Q17" s="6">
        <v>0.96378590278131782</v>
      </c>
      <c r="R17" s="5">
        <v>0.14051968174606394</v>
      </c>
      <c r="S17" s="5">
        <v>0.4256594853216325</v>
      </c>
      <c r="T17" s="5">
        <v>0.27494395496368501</v>
      </c>
      <c r="U17" s="5">
        <v>0.57348880302390359</v>
      </c>
      <c r="V17" s="5">
        <v>0.41756695023524032</v>
      </c>
      <c r="W17" s="5">
        <v>0.39707032497538591</v>
      </c>
      <c r="X17" s="5">
        <v>0.18404527893072292</v>
      </c>
      <c r="Y17" s="5">
        <v>0.60019615603113496</v>
      </c>
      <c r="Z17" s="5">
        <v>0.44958637403644719</v>
      </c>
      <c r="AA17" s="5">
        <v>0.50049546888165508</v>
      </c>
      <c r="AB17" s="5">
        <v>0.54787212850709954</v>
      </c>
      <c r="AC17" s="5">
        <v>0.25876528395938431</v>
      </c>
      <c r="AD17" s="5">
        <v>0.35596364751872889</v>
      </c>
      <c r="AE17" s="5">
        <v>0.57294359976154996</v>
      </c>
      <c r="AF17" s="6">
        <v>0.43952353642338016</v>
      </c>
    </row>
    <row r="18" spans="1:32" x14ac:dyDescent="0.25">
      <c r="A18" s="22"/>
      <c r="B18" s="5">
        <v>6</v>
      </c>
      <c r="C18" s="4">
        <v>0.88766184521659675</v>
      </c>
      <c r="D18" s="5">
        <v>0.77669526979756787</v>
      </c>
      <c r="E18" s="5">
        <v>0.81453902526372746</v>
      </c>
      <c r="F18" s="5">
        <v>0.79316320293593012</v>
      </c>
      <c r="G18" s="5">
        <v>0.74265800318798614</v>
      </c>
      <c r="H18" s="5">
        <v>0.74815418865949679</v>
      </c>
      <c r="I18" s="5">
        <v>0.95710664742206242</v>
      </c>
      <c r="J18" s="5">
        <v>1.0098173102101193</v>
      </c>
      <c r="K18" s="5">
        <v>0.6548486306883573</v>
      </c>
      <c r="L18" s="5">
        <v>0.69840921944772716</v>
      </c>
      <c r="M18" s="5">
        <v>0.55246796966958478</v>
      </c>
      <c r="N18" s="5">
        <v>0.61634865751496537</v>
      </c>
      <c r="O18" s="5">
        <v>0.63853723115518768</v>
      </c>
      <c r="P18" s="5">
        <v>0.59513985751852205</v>
      </c>
      <c r="Q18" s="6">
        <v>0.71035495633016688</v>
      </c>
      <c r="R18" s="5">
        <v>0.65592790795718547</v>
      </c>
      <c r="S18" s="5">
        <v>0.69970837322282176</v>
      </c>
      <c r="T18" s="5">
        <v>0.66391241316185878</v>
      </c>
      <c r="U18" s="5">
        <v>0.75631036164890464</v>
      </c>
      <c r="V18" s="5">
        <v>0.84488454393011414</v>
      </c>
      <c r="W18" s="5">
        <v>0.74870324117826315</v>
      </c>
      <c r="X18" s="5">
        <v>0.58526073955989188</v>
      </c>
      <c r="Y18" s="5">
        <v>0.56588104172083797</v>
      </c>
      <c r="Z18" s="5">
        <v>0.86538239353745938</v>
      </c>
      <c r="AA18" s="5">
        <v>0.83190287391962747</v>
      </c>
      <c r="AB18" s="5">
        <v>0.85521647777384191</v>
      </c>
      <c r="AC18" s="5">
        <v>0.82354052043119885</v>
      </c>
      <c r="AD18" s="5">
        <v>0.80482005614637542</v>
      </c>
      <c r="AE18" s="5">
        <v>0.85824051767508724</v>
      </c>
      <c r="AF18" s="6">
        <v>0.75291872099672452</v>
      </c>
    </row>
    <row r="19" spans="1:32" x14ac:dyDescent="0.25">
      <c r="A19" s="22"/>
      <c r="B19" s="5">
        <v>7</v>
      </c>
      <c r="C19" s="4">
        <v>2.4924627879496679</v>
      </c>
      <c r="D19" s="5">
        <v>1.068198021691515</v>
      </c>
      <c r="E19" s="5">
        <v>1.5695492575898715</v>
      </c>
      <c r="F19" s="5">
        <v>1.121687102396653</v>
      </c>
      <c r="G19" s="5">
        <v>1.6157095613241157</v>
      </c>
      <c r="H19" s="5">
        <v>0.9387908738606715</v>
      </c>
      <c r="I19" s="5">
        <v>0.99856550733498028</v>
      </c>
      <c r="J19" s="5">
        <v>1.2448449702673823</v>
      </c>
      <c r="K19" s="5">
        <v>1.1263565321801232</v>
      </c>
      <c r="L19" s="5">
        <v>1.176829557624425</v>
      </c>
      <c r="M19" s="5">
        <v>1.159984980161417</v>
      </c>
      <c r="N19" s="5">
        <v>1.1751288387496068</v>
      </c>
      <c r="O19" s="5">
        <v>1.1076952910550733</v>
      </c>
      <c r="P19" s="5">
        <v>1.1437947442134233</v>
      </c>
      <c r="Q19" s="6">
        <v>1.1396267685078962</v>
      </c>
      <c r="R19" s="5">
        <v>2.9529424748337137E-2</v>
      </c>
      <c r="S19" s="5">
        <v>0.72916029667745474</v>
      </c>
      <c r="T19" s="5">
        <v>0.38085263323861052</v>
      </c>
      <c r="U19" s="5">
        <v>0.77584295271722681</v>
      </c>
      <c r="V19" s="5">
        <v>0.35919055981079651</v>
      </c>
      <c r="W19" s="5">
        <v>0.79168114481325691</v>
      </c>
      <c r="X19" s="5">
        <v>0.83167553946253148</v>
      </c>
      <c r="Y19" s="5">
        <v>0.78766604296061171</v>
      </c>
      <c r="Z19" s="5">
        <v>0.79538639629409424</v>
      </c>
      <c r="AA19" s="5">
        <v>0.83118658634440479</v>
      </c>
      <c r="AB19" s="5">
        <v>0.75444528608240513</v>
      </c>
      <c r="AC19" s="5">
        <v>0.67880445292738989</v>
      </c>
      <c r="AD19" s="5">
        <v>0.72167308633276328</v>
      </c>
      <c r="AE19" s="5">
        <v>0.80283360815583715</v>
      </c>
      <c r="AF19" s="6">
        <v>0.77457306697741446</v>
      </c>
    </row>
    <row r="20" spans="1:32" x14ac:dyDescent="0.25">
      <c r="A20" s="22"/>
      <c r="B20" s="5">
        <v>8</v>
      </c>
      <c r="C20" s="4">
        <v>1.088851564844284</v>
      </c>
      <c r="D20" s="5">
        <v>1.1218049414235562</v>
      </c>
      <c r="E20" s="5">
        <v>1.1448176141189477</v>
      </c>
      <c r="F20" s="5">
        <v>1.138050806129836</v>
      </c>
      <c r="G20" s="5">
        <v>1.2034739724873094</v>
      </c>
      <c r="H20" s="5">
        <v>1.1409102825212722</v>
      </c>
      <c r="I20" s="5">
        <v>1.2812486292790868</v>
      </c>
      <c r="J20" s="5">
        <v>1.3763855676260308</v>
      </c>
      <c r="K20" s="5">
        <v>1.0701618757726115</v>
      </c>
      <c r="L20" s="5">
        <v>1.1609660471587377</v>
      </c>
      <c r="M20" s="5">
        <v>1.1072723425520097</v>
      </c>
      <c r="N20" s="5">
        <v>1.155461947692084</v>
      </c>
      <c r="O20" s="5">
        <v>1.1444219816924377</v>
      </c>
      <c r="P20" s="5">
        <v>1.1338894434022895</v>
      </c>
      <c r="Q20" s="6">
        <v>1.1493837848738107</v>
      </c>
      <c r="R20" s="5">
        <v>0.54343269940121119</v>
      </c>
      <c r="S20" s="5">
        <v>0.51092857081652476</v>
      </c>
      <c r="T20" s="5">
        <v>0.47924370413922857</v>
      </c>
      <c r="U20" s="5">
        <v>0.50067866524587301</v>
      </c>
      <c r="V20" s="5">
        <v>0.52116531494738838</v>
      </c>
      <c r="W20" s="5">
        <v>0.49945331774248125</v>
      </c>
      <c r="X20" s="5">
        <v>0.30780786624036338</v>
      </c>
      <c r="Y20" s="5">
        <v>0.23738330993726184</v>
      </c>
      <c r="Z20" s="5">
        <v>0.70763002066287684</v>
      </c>
      <c r="AA20" s="5">
        <v>0.61480499775174213</v>
      </c>
      <c r="AB20" s="5">
        <v>0.4765748999751469</v>
      </c>
      <c r="AC20" s="5">
        <v>0.51951841258437159</v>
      </c>
      <c r="AD20" s="5">
        <v>0.51261300188125047</v>
      </c>
      <c r="AE20" s="5">
        <v>0.4887480869226134</v>
      </c>
      <c r="AF20" s="6">
        <v>0.4805283193105257</v>
      </c>
    </row>
    <row r="21" spans="1:32" x14ac:dyDescent="0.25">
      <c r="A21" s="22"/>
      <c r="B21" s="5">
        <v>9</v>
      </c>
      <c r="C21" s="4">
        <v>2.0277543901307427</v>
      </c>
      <c r="D21" s="5">
        <v>2.0471925150484953</v>
      </c>
      <c r="E21" s="5">
        <v>2.1719779217289097</v>
      </c>
      <c r="F21" s="5">
        <v>1.9736241625084889</v>
      </c>
      <c r="G21" s="5">
        <v>1.7734132184441203</v>
      </c>
      <c r="H21" s="5">
        <v>2.0567016986277853</v>
      </c>
      <c r="I21" s="5">
        <v>2.0252047956711889</v>
      </c>
      <c r="J21" s="5">
        <v>1.9239876991983775</v>
      </c>
      <c r="K21" s="5">
        <v>1.9561374363784489</v>
      </c>
      <c r="L21" s="5">
        <v>2.0079329436584157</v>
      </c>
      <c r="M21" s="5">
        <v>2.0804699743935662</v>
      </c>
      <c r="N21" s="5">
        <v>1.9646764334240256</v>
      </c>
      <c r="O21" s="5">
        <v>1.9770979466094365</v>
      </c>
      <c r="P21" s="5">
        <v>2.2648119559047464</v>
      </c>
      <c r="Q21" s="6">
        <v>2.1548201781123177</v>
      </c>
      <c r="R21" s="5">
        <v>1.5321995198910435E-2</v>
      </c>
      <c r="S21" s="5">
        <v>0.10297422508180261</v>
      </c>
      <c r="T21" s="5">
        <v>0.13180804162164547</v>
      </c>
      <c r="U21" s="5">
        <v>0.16114781982403378</v>
      </c>
      <c r="V21" s="5">
        <v>5.9129565200404473E-2</v>
      </c>
      <c r="W21" s="5">
        <v>0.10956223678851862</v>
      </c>
      <c r="X21" s="5">
        <v>2.7396325610782098E-2</v>
      </c>
      <c r="Y21" s="5">
        <v>0.10747446489852884</v>
      </c>
      <c r="Z21" s="5">
        <v>6.5323159877817991E-2</v>
      </c>
      <c r="AA21" s="5">
        <v>6.5873899672434871E-2</v>
      </c>
      <c r="AB21" s="5">
        <v>5.4019732633722714E-2</v>
      </c>
      <c r="AC21" s="5">
        <v>4.6929471170985601E-2</v>
      </c>
      <c r="AD21" s="5">
        <v>8.1867351125828353E-2</v>
      </c>
      <c r="AE21" s="5">
        <v>0.14030568280766634</v>
      </c>
      <c r="AF21" s="6">
        <v>7.4394040600011896E-2</v>
      </c>
    </row>
    <row r="22" spans="1:32" x14ac:dyDescent="0.25">
      <c r="A22" s="23"/>
      <c r="B22" s="11">
        <v>10</v>
      </c>
      <c r="C22" s="10">
        <v>0.73663206877291643</v>
      </c>
      <c r="D22" s="11">
        <v>0.71565168805915413</v>
      </c>
      <c r="E22" s="11">
        <v>0.51616258988738217</v>
      </c>
      <c r="F22" s="11">
        <v>0.96562102329954724</v>
      </c>
      <c r="G22" s="11">
        <v>0.53296245994128577</v>
      </c>
      <c r="H22" s="11">
        <v>0.48302047223021499</v>
      </c>
      <c r="I22" s="11">
        <v>0.95600003430151614</v>
      </c>
      <c r="J22" s="11">
        <v>0.71171248876682403</v>
      </c>
      <c r="K22" s="11">
        <v>0.65415058090721756</v>
      </c>
      <c r="L22" s="11">
        <v>0.51545585286553219</v>
      </c>
      <c r="M22" s="11">
        <v>0.56425514322467629</v>
      </c>
      <c r="N22" s="11">
        <v>0.64083497519694299</v>
      </c>
      <c r="O22" s="11">
        <v>0.7381919522063688</v>
      </c>
      <c r="P22" s="11">
        <v>0.53735187879451951</v>
      </c>
      <c r="Q22" s="12">
        <v>0.56753377917133707</v>
      </c>
      <c r="R22" s="11">
        <v>0.67637277916531247</v>
      </c>
      <c r="S22" s="11">
        <v>0.67296796737597342</v>
      </c>
      <c r="T22" s="11">
        <v>0.78284500406257351</v>
      </c>
      <c r="U22" s="11">
        <v>0.49350495193394128</v>
      </c>
      <c r="V22" s="11">
        <v>0.83550175588628839</v>
      </c>
      <c r="W22" s="11">
        <v>0.81217447228097117</v>
      </c>
      <c r="X22" s="11">
        <v>0.57468548287264276</v>
      </c>
      <c r="Y22" s="11">
        <v>0.63994406363447287</v>
      </c>
      <c r="Z22" s="11">
        <v>0.66078679325260081</v>
      </c>
      <c r="AA22" s="11">
        <v>0.80617599596798462</v>
      </c>
      <c r="AB22" s="11">
        <v>0.77553280655477164</v>
      </c>
      <c r="AC22" s="11">
        <v>0.70423919235136556</v>
      </c>
      <c r="AD22" s="11">
        <v>0.62078444962936874</v>
      </c>
      <c r="AE22" s="11">
        <v>0.77015185955877308</v>
      </c>
      <c r="AF22" s="12">
        <v>0.78093196851665192</v>
      </c>
    </row>
    <row r="23" spans="1:32" x14ac:dyDescent="0.25">
      <c r="A23" s="21">
        <v>854</v>
      </c>
      <c r="B23" s="8">
        <v>1</v>
      </c>
      <c r="C23" s="7">
        <v>0.65057797792154015</v>
      </c>
      <c r="D23" s="8">
        <v>0.88584448451886855</v>
      </c>
      <c r="E23" s="8">
        <v>0.887731463211755</v>
      </c>
      <c r="F23" s="8">
        <v>0.76882269329486297</v>
      </c>
      <c r="G23" s="8">
        <v>0.78328952445317646</v>
      </c>
      <c r="H23" s="8">
        <v>0.73070421020279008</v>
      </c>
      <c r="I23" s="8">
        <v>1.0914134574254311</v>
      </c>
      <c r="J23" s="8">
        <v>0.69720131000068175</v>
      </c>
      <c r="K23" s="8">
        <v>0.80542083488059202</v>
      </c>
      <c r="L23" s="8">
        <v>0.8784331666219215</v>
      </c>
      <c r="M23" s="8">
        <v>0.84182319395281369</v>
      </c>
      <c r="N23" s="8">
        <v>0.88453617186348954</v>
      </c>
      <c r="O23" s="8">
        <v>0.78579229417024266</v>
      </c>
      <c r="P23" s="8">
        <v>0.76347715196936305</v>
      </c>
      <c r="Q23" s="9">
        <v>0.83415533682527221</v>
      </c>
      <c r="R23" s="8">
        <v>0.74023943031829931</v>
      </c>
      <c r="S23" s="8">
        <v>0.44718156058576086</v>
      </c>
      <c r="T23" s="8">
        <v>0.47666031123821412</v>
      </c>
      <c r="U23" s="8">
        <v>0.56820450801859068</v>
      </c>
      <c r="V23" s="8">
        <v>0.59598294485244807</v>
      </c>
      <c r="W23" s="8">
        <v>0.61265024639407395</v>
      </c>
      <c r="X23" s="8">
        <v>0.48040181262074444</v>
      </c>
      <c r="Y23" s="8">
        <v>0.64599147189457107</v>
      </c>
      <c r="Z23" s="8">
        <v>0.50203800397308773</v>
      </c>
      <c r="AA23" s="8">
        <v>0.43745370207981837</v>
      </c>
      <c r="AB23" s="8">
        <v>0.5124307916176557</v>
      </c>
      <c r="AC23" s="8">
        <v>0.49364447216648549</v>
      </c>
      <c r="AD23" s="8">
        <v>0.53410261125033986</v>
      </c>
      <c r="AE23" s="8">
        <v>0.5670525387802593</v>
      </c>
      <c r="AF23" s="9">
        <v>0.52665896393903122</v>
      </c>
    </row>
    <row r="24" spans="1:32" x14ac:dyDescent="0.25">
      <c r="A24" s="22"/>
      <c r="B24" s="5">
        <v>2</v>
      </c>
      <c r="C24" s="4">
        <v>0.8374124646428226</v>
      </c>
      <c r="D24" s="5">
        <v>0.70659948886916613</v>
      </c>
      <c r="E24" s="5">
        <v>0.60635006862022378</v>
      </c>
      <c r="F24" s="5">
        <v>0.76493941899631279</v>
      </c>
      <c r="G24" s="5">
        <v>0.7745889844036643</v>
      </c>
      <c r="H24" s="5">
        <v>0.74756261265389445</v>
      </c>
      <c r="I24" s="5">
        <v>0.76012517724862272</v>
      </c>
      <c r="J24" s="5">
        <v>0.79379553541256243</v>
      </c>
      <c r="K24" s="5">
        <v>0.82819811849555869</v>
      </c>
      <c r="L24" s="5">
        <v>0.6741653368743582</v>
      </c>
      <c r="M24" s="5">
        <v>0.70179958909547913</v>
      </c>
      <c r="N24" s="5">
        <v>0.85214367499554711</v>
      </c>
      <c r="O24" s="5">
        <v>0.71512546134984833</v>
      </c>
      <c r="P24" s="5">
        <v>0.67793825041149569</v>
      </c>
      <c r="Q24" s="6">
        <v>0.72052186076320168</v>
      </c>
      <c r="R24" s="5">
        <v>0.71151347237691387</v>
      </c>
      <c r="S24" s="5">
        <v>0.74665612486704558</v>
      </c>
      <c r="T24" s="5">
        <v>0.8319263616138115</v>
      </c>
      <c r="U24" s="5">
        <v>0.69952081593357907</v>
      </c>
      <c r="V24" s="5">
        <v>0.823251157248022</v>
      </c>
      <c r="W24" s="5">
        <v>0.720016567125361</v>
      </c>
      <c r="X24" s="5">
        <v>0.70224479181333621</v>
      </c>
      <c r="Y24" s="5">
        <v>0.69782672748425822</v>
      </c>
      <c r="Z24" s="5">
        <v>0.62460636233766775</v>
      </c>
      <c r="AA24" s="5">
        <v>0.75368481807929188</v>
      </c>
      <c r="AB24" s="5">
        <v>0.72838211164906652</v>
      </c>
      <c r="AC24" s="5">
        <v>0.63486482329271599</v>
      </c>
      <c r="AD24" s="5">
        <v>0.72167754714839016</v>
      </c>
      <c r="AE24" s="5">
        <v>0.75468255169532161</v>
      </c>
      <c r="AF24" s="6">
        <v>0.75927133553561843</v>
      </c>
    </row>
    <row r="25" spans="1:32" x14ac:dyDescent="0.25">
      <c r="A25" s="22"/>
      <c r="B25" s="5">
        <v>3</v>
      </c>
      <c r="C25" s="4">
        <v>2.2621783811027103</v>
      </c>
      <c r="D25" s="5">
        <v>0.71325677904503104</v>
      </c>
      <c r="E25" s="5">
        <v>1.4117230571256911</v>
      </c>
      <c r="F25" s="5">
        <v>0.64589332070676753</v>
      </c>
      <c r="G25" s="5">
        <v>1.401936566582427</v>
      </c>
      <c r="H25" s="5">
        <v>0.58578090771865565</v>
      </c>
      <c r="I25" s="5">
        <v>1.204191009186921</v>
      </c>
      <c r="J25" s="5">
        <v>1.1484753906188983</v>
      </c>
      <c r="K25" s="5">
        <v>0.88193477412871157</v>
      </c>
      <c r="L25" s="5">
        <v>0.90951076124314045</v>
      </c>
      <c r="M25" s="5">
        <v>0.6876642523159886</v>
      </c>
      <c r="N25" s="5">
        <v>0.8024535557854855</v>
      </c>
      <c r="O25" s="5">
        <v>0.86886986327850924</v>
      </c>
      <c r="P25" s="5">
        <v>0.65800678947958491</v>
      </c>
      <c r="Q25" s="6">
        <v>0.66723312359099796</v>
      </c>
      <c r="R25" s="5">
        <v>1.7093980091295497E-2</v>
      </c>
      <c r="S25" s="5">
        <v>0.83383508313029808</v>
      </c>
      <c r="T25" s="5">
        <v>0.33604873841654309</v>
      </c>
      <c r="U25" s="5">
        <v>0.86098571023646708</v>
      </c>
      <c r="V25" s="5">
        <v>0.295550336067053</v>
      </c>
      <c r="W25" s="5">
        <v>0.88464327260982545</v>
      </c>
      <c r="X25" s="5">
        <v>0.59262274221890565</v>
      </c>
      <c r="Y25" s="5">
        <v>0.48381561370587073</v>
      </c>
      <c r="Z25" s="5">
        <v>0.74528823989993942</v>
      </c>
      <c r="AA25" s="5">
        <v>0.75991358496005612</v>
      </c>
      <c r="AB25" s="5">
        <v>0.84409472155031751</v>
      </c>
      <c r="AC25" s="5">
        <v>0.81215280272441792</v>
      </c>
      <c r="AD25" s="5">
        <v>0.75982387534209861</v>
      </c>
      <c r="AE25" s="5">
        <v>0.87204495212756783</v>
      </c>
      <c r="AF25" s="6">
        <v>0.86541479931827325</v>
      </c>
    </row>
    <row r="26" spans="1:32" x14ac:dyDescent="0.25">
      <c r="A26" s="22"/>
      <c r="B26" s="5">
        <v>4</v>
      </c>
      <c r="C26" s="4">
        <v>1.6695665013839016</v>
      </c>
      <c r="D26" s="5">
        <v>1.0712093304833483</v>
      </c>
      <c r="E26" s="5">
        <v>1.253132612719021</v>
      </c>
      <c r="F26" s="5">
        <v>1.3170540759926426</v>
      </c>
      <c r="G26" s="5">
        <v>1.2882468095625155</v>
      </c>
      <c r="H26" s="5">
        <v>1.0854762295166809</v>
      </c>
      <c r="I26" s="5">
        <v>1.0369216755449355</v>
      </c>
      <c r="J26" s="5">
        <v>1.166811610043941</v>
      </c>
      <c r="K26" s="5">
        <v>1.2744985428517561</v>
      </c>
      <c r="L26" s="5">
        <v>1.2155148397328392</v>
      </c>
      <c r="M26" s="5">
        <v>1.1356627524195215</v>
      </c>
      <c r="N26" s="5">
        <v>1.2480398496857315</v>
      </c>
      <c r="O26" s="5">
        <v>1.0805207360634426</v>
      </c>
      <c r="P26" s="5">
        <v>1.0305605285760755</v>
      </c>
      <c r="Q26" s="6">
        <v>1.1192786742187653</v>
      </c>
      <c r="R26" s="5">
        <v>0.23587893534376234</v>
      </c>
      <c r="S26" s="5">
        <v>0.6603793599867247</v>
      </c>
      <c r="T26" s="5">
        <v>0.49829136962156406</v>
      </c>
      <c r="U26" s="5">
        <v>0.3736324050057459</v>
      </c>
      <c r="V26" s="5">
        <v>0.5419262471470313</v>
      </c>
      <c r="W26" s="5">
        <v>0.58884439863252802</v>
      </c>
      <c r="X26" s="5">
        <v>0.61733789109746884</v>
      </c>
      <c r="Y26" s="5">
        <v>0.59018432755482664</v>
      </c>
      <c r="Z26" s="5">
        <v>0.47733983570194871</v>
      </c>
      <c r="AA26" s="5">
        <v>0.57539550831721409</v>
      </c>
      <c r="AB26" s="5">
        <v>0.53983454791338026</v>
      </c>
      <c r="AC26" s="5">
        <v>0.47685393333052184</v>
      </c>
      <c r="AD26" s="5">
        <v>0.62311524831996279</v>
      </c>
      <c r="AE26" s="5">
        <v>0.64450128729753664</v>
      </c>
      <c r="AF26" s="6">
        <v>0.57631843524254878</v>
      </c>
    </row>
    <row r="27" spans="1:32" x14ac:dyDescent="0.25">
      <c r="A27" s="22"/>
      <c r="B27" s="5">
        <v>5</v>
      </c>
      <c r="C27" s="4">
        <v>1.2207015244527426</v>
      </c>
      <c r="D27" s="5">
        <v>1.048549608362507</v>
      </c>
      <c r="E27" s="5">
        <v>1.2802490594113256</v>
      </c>
      <c r="F27" s="5">
        <v>1.2091764478920493</v>
      </c>
      <c r="G27" s="5">
        <v>1.1415235531019863</v>
      </c>
      <c r="H27" s="5">
        <v>1.1775911152583551</v>
      </c>
      <c r="I27" s="5">
        <v>1.2273505034519139</v>
      </c>
      <c r="J27" s="5">
        <v>1.1610633374357748</v>
      </c>
      <c r="K27" s="5">
        <v>1.1075077791068786</v>
      </c>
      <c r="L27" s="5">
        <v>1.1153227898800195</v>
      </c>
      <c r="M27" s="5">
        <v>1.0687476282712867</v>
      </c>
      <c r="N27" s="5">
        <v>1.0773467873618581</v>
      </c>
      <c r="O27" s="5">
        <v>1.1763208353566854</v>
      </c>
      <c r="P27" s="5">
        <v>1.1152386241569188</v>
      </c>
      <c r="Q27" s="6">
        <v>1.1462163837122625</v>
      </c>
      <c r="R27" s="5">
        <v>0.38428544746749221</v>
      </c>
      <c r="S27" s="5">
        <v>0.42770173104730069</v>
      </c>
      <c r="T27" s="5">
        <v>0.33339856080849067</v>
      </c>
      <c r="U27" s="5">
        <v>0.28653351396611737</v>
      </c>
      <c r="V27" s="5">
        <v>0.40288966489571221</v>
      </c>
      <c r="W27" s="5">
        <v>0.35392507481433583</v>
      </c>
      <c r="X27" s="5">
        <v>0.33805520011205714</v>
      </c>
      <c r="Y27" s="5">
        <v>0.43298110884410385</v>
      </c>
      <c r="Z27" s="5">
        <v>0.40880220020665975</v>
      </c>
      <c r="AA27" s="5">
        <v>0.41033521740530376</v>
      </c>
      <c r="AB27" s="5">
        <v>0.43281037249387211</v>
      </c>
      <c r="AC27" s="5">
        <v>0.3939903740184843</v>
      </c>
      <c r="AD27" s="5">
        <v>0.29543242862492308</v>
      </c>
      <c r="AE27" s="5">
        <v>0.36727703181205024</v>
      </c>
      <c r="AF27" s="6">
        <v>0.39070261304201748</v>
      </c>
    </row>
    <row r="28" spans="1:32" x14ac:dyDescent="0.25">
      <c r="A28" s="22"/>
      <c r="B28" s="5">
        <v>6</v>
      </c>
      <c r="C28" s="4">
        <v>1.1908594403910435</v>
      </c>
      <c r="D28" s="5">
        <v>1.1773037515454028</v>
      </c>
      <c r="E28" s="5">
        <v>0.98557897507281644</v>
      </c>
      <c r="F28" s="5">
        <v>1.0267998828830605</v>
      </c>
      <c r="G28" s="5">
        <v>0.89269562746502051</v>
      </c>
      <c r="H28" s="5">
        <v>1.0715022948717066</v>
      </c>
      <c r="I28" s="5">
        <v>1.0687173828250853</v>
      </c>
      <c r="J28" s="5">
        <v>0.9861090203420716</v>
      </c>
      <c r="K28" s="5">
        <v>0.91890298090961875</v>
      </c>
      <c r="L28" s="5">
        <v>0.91510452315996849</v>
      </c>
      <c r="M28" s="5">
        <v>1.1825216859831789</v>
      </c>
      <c r="N28" s="5">
        <v>1.0052868326850386</v>
      </c>
      <c r="O28" s="5">
        <v>0.92860949663089443</v>
      </c>
      <c r="P28" s="5">
        <v>1.0086563244348064</v>
      </c>
      <c r="Q28" s="6">
        <v>0.89317573941633477</v>
      </c>
      <c r="R28" s="5">
        <v>0.49562348942739831</v>
      </c>
      <c r="S28" s="5">
        <v>0.11296911880979425</v>
      </c>
      <c r="T28" s="5">
        <v>2.8128565019733948E-2</v>
      </c>
      <c r="U28" s="5">
        <v>3.4037639843314357E-2</v>
      </c>
      <c r="V28" s="5">
        <v>0.15521463227792451</v>
      </c>
      <c r="W28" s="5">
        <v>1.4203456426741951E-2</v>
      </c>
      <c r="X28" s="5">
        <v>0.18343091456377594</v>
      </c>
      <c r="Y28" s="5">
        <v>0.23557035074600588</v>
      </c>
      <c r="Z28" s="5">
        <v>0.25308656742982588</v>
      </c>
      <c r="AA28" s="5">
        <v>0.24711124192693934</v>
      </c>
      <c r="AB28" s="5">
        <v>0.17080454258480637</v>
      </c>
      <c r="AC28" s="5">
        <v>0.25181099788211886</v>
      </c>
      <c r="AD28" s="5">
        <v>0.30063311771451795</v>
      </c>
      <c r="AE28" s="5">
        <v>0.14798726287607922</v>
      </c>
      <c r="AF28" s="6">
        <v>0.17500053701460569</v>
      </c>
    </row>
    <row r="29" spans="1:32" x14ac:dyDescent="0.25">
      <c r="A29" s="22"/>
      <c r="B29" s="5">
        <v>7</v>
      </c>
      <c r="C29" s="4">
        <v>1.4737422413173209</v>
      </c>
      <c r="D29" s="5">
        <v>0.96176364792664459</v>
      </c>
      <c r="E29" s="5">
        <v>1.0516566067081576</v>
      </c>
      <c r="F29" s="5">
        <v>0.75054899134844399</v>
      </c>
      <c r="G29" s="5">
        <v>1.2375594926882978</v>
      </c>
      <c r="H29" s="5">
        <v>0.7133496475946538</v>
      </c>
      <c r="I29" s="5">
        <v>0.86688407170341031</v>
      </c>
      <c r="J29" s="5">
        <v>1.2534889974254528</v>
      </c>
      <c r="K29" s="5">
        <v>1.0967584302206586</v>
      </c>
      <c r="L29" s="5">
        <v>0.97732541817652374</v>
      </c>
      <c r="M29" s="5">
        <v>0.67632698102508093</v>
      </c>
      <c r="N29" s="5">
        <v>0.93806681752758592</v>
      </c>
      <c r="O29" s="5">
        <v>0.93618670849373509</v>
      </c>
      <c r="P29" s="5">
        <v>0.78910938467447822</v>
      </c>
      <c r="Q29" s="6">
        <v>0.68706620196467727</v>
      </c>
      <c r="R29" s="5">
        <v>0.42784665400306415</v>
      </c>
      <c r="S29" s="5">
        <v>0.79445338122544418</v>
      </c>
      <c r="T29" s="5">
        <v>0.71026692760154919</v>
      </c>
      <c r="U29" s="5">
        <v>0.85733081845234549</v>
      </c>
      <c r="V29" s="5">
        <v>0.68153912327138733</v>
      </c>
      <c r="W29" s="5">
        <v>0.85526755346506034</v>
      </c>
      <c r="X29" s="5">
        <v>0.78367314752742234</v>
      </c>
      <c r="Y29" s="5">
        <v>0.64458595498910021</v>
      </c>
      <c r="Z29" s="5">
        <v>0.73402960124942573</v>
      </c>
      <c r="AA29" s="5">
        <v>0.83597592806195375</v>
      </c>
      <c r="AB29" s="5">
        <v>0.88538433825942942</v>
      </c>
      <c r="AC29" s="5">
        <v>0.79515065143293506</v>
      </c>
      <c r="AD29" s="5">
        <v>0.78233937345076288</v>
      </c>
      <c r="AE29" s="5">
        <v>0.85775042230012799</v>
      </c>
      <c r="AF29" s="6">
        <v>0.88037348686165184</v>
      </c>
    </row>
    <row r="30" spans="1:32" x14ac:dyDescent="0.25">
      <c r="A30" s="22"/>
      <c r="B30" s="5">
        <v>8</v>
      </c>
      <c r="C30" s="4">
        <v>0.98292045726955957</v>
      </c>
      <c r="D30" s="5">
        <v>0.70151822884731729</v>
      </c>
      <c r="E30" s="5">
        <v>0.81572203627022744</v>
      </c>
      <c r="F30" s="5">
        <v>0.69367400296054615</v>
      </c>
      <c r="G30" s="5">
        <v>0.66217842823563444</v>
      </c>
      <c r="H30" s="5">
        <v>0.74990103414901965</v>
      </c>
      <c r="I30" s="5">
        <v>1.0141099829329696</v>
      </c>
      <c r="J30" s="5">
        <v>0.78797422839543729</v>
      </c>
      <c r="K30" s="5">
        <v>0.82942225398781688</v>
      </c>
      <c r="L30" s="5">
        <v>0.68876107622052918</v>
      </c>
      <c r="M30" s="5">
        <v>0.85633027756598146</v>
      </c>
      <c r="N30" s="5">
        <v>0.63777630572916277</v>
      </c>
      <c r="O30" s="5">
        <v>0.68583174453275797</v>
      </c>
      <c r="P30" s="5">
        <v>0.68590365449742519</v>
      </c>
      <c r="Q30" s="6">
        <v>0.82740038967795448</v>
      </c>
      <c r="R30" s="5">
        <v>0.32364844092635936</v>
      </c>
      <c r="S30" s="5">
        <v>0.52460936024980886</v>
      </c>
      <c r="T30" s="5">
        <v>0.32151508652449912</v>
      </c>
      <c r="U30" s="5">
        <v>0.4855869241845101</v>
      </c>
      <c r="V30" s="5">
        <v>0.52312080029814811</v>
      </c>
      <c r="W30" s="5">
        <v>0.42850484384453802</v>
      </c>
      <c r="X30" s="5">
        <v>0.13458238720757038</v>
      </c>
      <c r="Y30" s="5">
        <v>0.42542679394891236</v>
      </c>
      <c r="Z30" s="5">
        <v>0.3958999772148824</v>
      </c>
      <c r="AA30" s="5">
        <v>0.49047395405471023</v>
      </c>
      <c r="AB30" s="5">
        <v>0.39245600504005063</v>
      </c>
      <c r="AC30" s="5">
        <v>0.57564605787287837</v>
      </c>
      <c r="AD30" s="5">
        <v>0.53292211349957719</v>
      </c>
      <c r="AE30" s="5">
        <v>0.49847834092689969</v>
      </c>
      <c r="AF30" s="6">
        <v>0.3649251475474472</v>
      </c>
    </row>
    <row r="31" spans="1:32" x14ac:dyDescent="0.25">
      <c r="A31" s="22"/>
      <c r="B31" s="5">
        <v>9</v>
      </c>
      <c r="C31" s="4">
        <v>0.78221089225183793</v>
      </c>
      <c r="D31" s="5">
        <v>0.77849344589544656</v>
      </c>
      <c r="E31" s="5">
        <v>0.77632650475573095</v>
      </c>
      <c r="F31" s="5">
        <v>0.73899835949738979</v>
      </c>
      <c r="G31" s="5">
        <v>0.7177489107074051</v>
      </c>
      <c r="H31" s="5">
        <v>0.75044843024948527</v>
      </c>
      <c r="I31" s="5">
        <v>0.76362537619573867</v>
      </c>
      <c r="J31" s="5">
        <v>0.80753740883420788</v>
      </c>
      <c r="K31" s="5">
        <v>0.81015809524587035</v>
      </c>
      <c r="L31" s="5">
        <v>0.81214411554092414</v>
      </c>
      <c r="M31" s="5">
        <v>0.76858482807581707</v>
      </c>
      <c r="N31" s="5">
        <v>0.81383420499550574</v>
      </c>
      <c r="O31" s="5">
        <v>0.85195271982932441</v>
      </c>
      <c r="P31" s="5">
        <v>0.72572032168534695</v>
      </c>
      <c r="Q31" s="6">
        <v>0.78672546047308223</v>
      </c>
      <c r="R31" s="5">
        <v>0.35433975896046294</v>
      </c>
      <c r="S31" s="5">
        <v>0.36743000267794923</v>
      </c>
      <c r="T31" s="5">
        <v>0.33454454978884007</v>
      </c>
      <c r="U31" s="5">
        <v>0.38943040207997437</v>
      </c>
      <c r="V31" s="5">
        <v>0.46830628141762248</v>
      </c>
      <c r="W31" s="5">
        <v>0.36878684926857541</v>
      </c>
      <c r="X31" s="5">
        <v>0.35721046549990321</v>
      </c>
      <c r="Y31" s="5">
        <v>0.28874949868770455</v>
      </c>
      <c r="Z31" s="5">
        <v>0.36858888012008428</v>
      </c>
      <c r="AA31" s="5">
        <v>0.3196970717890239</v>
      </c>
      <c r="AB31" s="5">
        <v>0.35928479946694752</v>
      </c>
      <c r="AC31" s="5">
        <v>0.3344266802958038</v>
      </c>
      <c r="AD31" s="5">
        <v>0.29025902375818075</v>
      </c>
      <c r="AE31" s="5">
        <v>0.41199130480922835</v>
      </c>
      <c r="AF31" s="6">
        <v>0.32754015356020955</v>
      </c>
    </row>
    <row r="32" spans="1:32" x14ac:dyDescent="0.25">
      <c r="A32" s="23"/>
      <c r="B32" s="11">
        <v>10</v>
      </c>
      <c r="C32" s="10">
        <v>1.1989107964625294</v>
      </c>
      <c r="D32" s="11">
        <v>0.99658626328548883</v>
      </c>
      <c r="E32" s="11">
        <v>0.85613227454801044</v>
      </c>
      <c r="F32" s="11">
        <v>0.96046021493283795</v>
      </c>
      <c r="G32" s="11">
        <v>0.9283691419553971</v>
      </c>
      <c r="H32" s="11">
        <v>0.92217812271775901</v>
      </c>
      <c r="I32" s="11">
        <v>1.1847066393924983</v>
      </c>
      <c r="J32" s="11">
        <v>0.90922256167929905</v>
      </c>
      <c r="K32" s="11">
        <v>0.83184279159992125</v>
      </c>
      <c r="L32" s="11">
        <v>0.79981365529941828</v>
      </c>
      <c r="M32" s="11">
        <v>0.87309840412583706</v>
      </c>
      <c r="N32" s="11">
        <v>1.0386100669294758</v>
      </c>
      <c r="O32" s="11">
        <v>1.0218212255438406</v>
      </c>
      <c r="P32" s="11">
        <v>0.86858394594041222</v>
      </c>
      <c r="Q32" s="12">
        <v>0.85901314877232815</v>
      </c>
      <c r="R32" s="11">
        <v>0.32706842465336161</v>
      </c>
      <c r="S32" s="11">
        <v>0.45898659003645148</v>
      </c>
      <c r="T32" s="11">
        <v>0.62194442847541465</v>
      </c>
      <c r="U32" s="11">
        <v>0.55486396501406721</v>
      </c>
      <c r="V32" s="11">
        <v>0.5625203998632391</v>
      </c>
      <c r="W32" s="11">
        <v>0.56152010268461272</v>
      </c>
      <c r="X32" s="11">
        <v>0.40050418906843194</v>
      </c>
      <c r="Y32" s="11">
        <v>0.57110310828361877</v>
      </c>
      <c r="Z32" s="11">
        <v>0.6227397593878522</v>
      </c>
      <c r="AA32" s="11">
        <v>0.65790062991324871</v>
      </c>
      <c r="AB32" s="11">
        <v>0.59578517691415978</v>
      </c>
      <c r="AC32" s="11">
        <v>0.42411900290583876</v>
      </c>
      <c r="AD32" s="11">
        <v>0.43711710637255313</v>
      </c>
      <c r="AE32" s="11">
        <v>0.60575995658693493</v>
      </c>
      <c r="AF32" s="12">
        <v>0.62814241696967565</v>
      </c>
    </row>
    <row r="33" spans="1:32" x14ac:dyDescent="0.25">
      <c r="A33" s="21">
        <v>912</v>
      </c>
      <c r="B33" s="8">
        <v>1</v>
      </c>
      <c r="C33" s="7">
        <v>0.92611868397283914</v>
      </c>
      <c r="D33" s="8">
        <v>0.72721920934148176</v>
      </c>
      <c r="E33" s="8">
        <v>0.66917446200586073</v>
      </c>
      <c r="F33" s="8">
        <v>0.79508633898249259</v>
      </c>
      <c r="G33" s="8">
        <v>0.82525163044280014</v>
      </c>
      <c r="H33" s="8">
        <v>0.74779749626503167</v>
      </c>
      <c r="I33" s="8">
        <v>0.86159210487784377</v>
      </c>
      <c r="J33" s="8">
        <v>0.88766859144657695</v>
      </c>
      <c r="K33" s="8">
        <v>0.73130846402458649</v>
      </c>
      <c r="L33" s="8">
        <v>0.77456946410791105</v>
      </c>
      <c r="M33" s="8">
        <v>0.6159624878302925</v>
      </c>
      <c r="N33" s="8">
        <v>0.84022808869437349</v>
      </c>
      <c r="O33" s="8">
        <v>0.80423097066483329</v>
      </c>
      <c r="P33" s="8">
        <v>0.71679992534696646</v>
      </c>
      <c r="Q33" s="9">
        <v>0.67993289325522166</v>
      </c>
      <c r="R33" s="8">
        <v>0.62280634219866238</v>
      </c>
      <c r="S33" s="8">
        <v>0.7941187934515278</v>
      </c>
      <c r="T33" s="8">
        <v>0.80926216708433429</v>
      </c>
      <c r="U33" s="8">
        <v>0.77577544646903185</v>
      </c>
      <c r="V33" s="8">
        <v>0.86581949169284655</v>
      </c>
      <c r="W33" s="8">
        <v>0.79513551748785749</v>
      </c>
      <c r="X33" s="8">
        <v>0.71924839176638999</v>
      </c>
      <c r="Y33" s="8">
        <v>0.75838974480323262</v>
      </c>
      <c r="Z33" s="8">
        <v>0.81002848136111649</v>
      </c>
      <c r="AA33" s="8">
        <v>0.82675237956944525</v>
      </c>
      <c r="AB33" s="8">
        <v>0.83452213291531785</v>
      </c>
      <c r="AC33" s="8">
        <v>0.68529525016577453</v>
      </c>
      <c r="AD33" s="8">
        <v>0.71407606914225386</v>
      </c>
      <c r="AE33" s="8">
        <v>0.82444357106262534</v>
      </c>
      <c r="AF33" s="9">
        <v>0.84049279620282857</v>
      </c>
    </row>
    <row r="34" spans="1:32" x14ac:dyDescent="0.25">
      <c r="A34" s="22"/>
      <c r="B34" s="5">
        <v>2</v>
      </c>
      <c r="C34" s="4">
        <v>1.2923354860233052</v>
      </c>
      <c r="D34" s="5">
        <v>1.3476411986857368</v>
      </c>
      <c r="E34" s="5">
        <v>1.1258998652960515</v>
      </c>
      <c r="F34" s="5">
        <v>1.2090602458953055</v>
      </c>
      <c r="G34" s="5">
        <v>1.2458919570312872</v>
      </c>
      <c r="H34" s="5">
        <v>1.1453506592205724</v>
      </c>
      <c r="I34" s="5">
        <v>1.1599239155525818</v>
      </c>
      <c r="J34" s="5">
        <v>1.2446449928382524</v>
      </c>
      <c r="K34" s="5">
        <v>1.2826853338135975</v>
      </c>
      <c r="L34" s="5">
        <v>1.2364948889239291</v>
      </c>
      <c r="M34" s="5">
        <v>1.2190302811005831</v>
      </c>
      <c r="N34" s="5">
        <v>1.3997857765978936</v>
      </c>
      <c r="O34" s="5">
        <v>1.3763175704148463</v>
      </c>
      <c r="P34" s="5">
        <v>1.1159976439456911</v>
      </c>
      <c r="Q34" s="6">
        <v>1.1165347293671239</v>
      </c>
      <c r="R34" s="5">
        <v>0.32027790443082788</v>
      </c>
      <c r="S34" s="5">
        <v>0.2974389874655658</v>
      </c>
      <c r="T34" s="5">
        <v>0.34052877779433183</v>
      </c>
      <c r="U34" s="5">
        <v>0.25585271788703051</v>
      </c>
      <c r="V34" s="5">
        <v>0.19590700593208588</v>
      </c>
      <c r="W34" s="5">
        <v>0.33140104970776119</v>
      </c>
      <c r="X34" s="5">
        <v>0.46450612039885381</v>
      </c>
      <c r="Y34" s="5">
        <v>0.20546005374394827</v>
      </c>
      <c r="Z34" s="5">
        <v>0.16059334591913277</v>
      </c>
      <c r="AA34" s="5">
        <v>0.22414501386745894</v>
      </c>
      <c r="AB34" s="5">
        <v>0.3837711891875315</v>
      </c>
      <c r="AC34" s="5">
        <v>0.24806026636133638</v>
      </c>
      <c r="AD34" s="5">
        <v>0.26434223641593907</v>
      </c>
      <c r="AE34" s="5">
        <v>0.40172691552079026</v>
      </c>
      <c r="AF34" s="6">
        <v>0.40909838966923778</v>
      </c>
    </row>
    <row r="35" spans="1:32" x14ac:dyDescent="0.25">
      <c r="A35" s="22"/>
      <c r="B35" s="5">
        <v>3</v>
      </c>
      <c r="C35" s="4">
        <v>1.2092281783702929</v>
      </c>
      <c r="D35" s="5">
        <v>0.8583024021504041</v>
      </c>
      <c r="E35" s="5">
        <v>0.83272300136443023</v>
      </c>
      <c r="F35" s="5">
        <v>0.92136824859027333</v>
      </c>
      <c r="G35" s="5">
        <v>0.95829373263368467</v>
      </c>
      <c r="H35" s="5">
        <v>0.88669280279474472</v>
      </c>
      <c r="I35" s="5">
        <v>1.0815691138337165</v>
      </c>
      <c r="J35" s="5">
        <v>0.90416506321493184</v>
      </c>
      <c r="K35" s="5">
        <v>0.90408895451239069</v>
      </c>
      <c r="L35" s="5">
        <v>0.82848704828175512</v>
      </c>
      <c r="M35" s="5">
        <v>0.58807551153801008</v>
      </c>
      <c r="N35" s="5">
        <v>0.7244508644774702</v>
      </c>
      <c r="O35" s="5">
        <v>0.75735465003132918</v>
      </c>
      <c r="P35" s="5">
        <v>0.75406756263761321</v>
      </c>
      <c r="Q35" s="6">
        <v>0.78151175553538543</v>
      </c>
      <c r="R35" s="5">
        <v>0.45724799602506383</v>
      </c>
      <c r="S35" s="5">
        <v>0.7295888865175898</v>
      </c>
      <c r="T35" s="5">
        <v>0.70664714324272482</v>
      </c>
      <c r="U35" s="5">
        <v>0.64759101987427248</v>
      </c>
      <c r="V35" s="5">
        <v>0.65801807065777929</v>
      </c>
      <c r="W35" s="5">
        <v>0.65114935992065104</v>
      </c>
      <c r="X35" s="5">
        <v>0.52636228741226854</v>
      </c>
      <c r="Y35" s="5">
        <v>0.63681174173155519</v>
      </c>
      <c r="Z35" s="5">
        <v>0.60878480072251007</v>
      </c>
      <c r="AA35" s="5">
        <v>0.69890397125732218</v>
      </c>
      <c r="AB35" s="5">
        <v>0.83794420859122976</v>
      </c>
      <c r="AC35" s="5">
        <v>0.76085416231425895</v>
      </c>
      <c r="AD35" s="5">
        <v>0.732297849839883</v>
      </c>
      <c r="AE35" s="5">
        <v>0.7619162363916625</v>
      </c>
      <c r="AF35" s="6">
        <v>0.72693668315520266</v>
      </c>
    </row>
    <row r="36" spans="1:32" x14ac:dyDescent="0.25">
      <c r="A36" s="22"/>
      <c r="B36" s="5">
        <v>4</v>
      </c>
      <c r="C36" s="4">
        <v>0.82615549129643273</v>
      </c>
      <c r="D36" s="5">
        <v>0.82330792653731133</v>
      </c>
      <c r="E36" s="5">
        <v>0.79938023655371082</v>
      </c>
      <c r="F36" s="5">
        <v>0.71764693743076047</v>
      </c>
      <c r="G36" s="5">
        <v>0.8674057004638891</v>
      </c>
      <c r="H36" s="5">
        <v>0.77454067735766252</v>
      </c>
      <c r="I36" s="5">
        <v>0.88288495134034883</v>
      </c>
      <c r="J36" s="5">
        <v>0.85823462215565893</v>
      </c>
      <c r="K36" s="5">
        <v>0.92013686461607436</v>
      </c>
      <c r="L36" s="5">
        <v>0.82503027776217608</v>
      </c>
      <c r="M36" s="5">
        <v>0.79956332335193037</v>
      </c>
      <c r="N36" s="5">
        <v>0.88748351905002532</v>
      </c>
      <c r="O36" s="5">
        <v>0.93735833320085415</v>
      </c>
      <c r="P36" s="5">
        <v>0.74484419150584791</v>
      </c>
      <c r="Q36" s="6">
        <v>0.77447621436125047</v>
      </c>
      <c r="R36" s="5">
        <v>0.56884171881849055</v>
      </c>
      <c r="S36" s="5">
        <v>0.57902195609611784</v>
      </c>
      <c r="T36" s="5">
        <v>0.63826014634168526</v>
      </c>
      <c r="U36" s="5">
        <v>0.64358469044389022</v>
      </c>
      <c r="V36" s="5">
        <v>0.48370059970494078</v>
      </c>
      <c r="W36" s="5">
        <v>0.60580376001833958</v>
      </c>
      <c r="X36" s="5">
        <v>0.68532982107171336</v>
      </c>
      <c r="Y36" s="5">
        <v>0.57038985496687322</v>
      </c>
      <c r="Z36" s="5">
        <v>0.46134367290566891</v>
      </c>
      <c r="AA36" s="5">
        <v>0.5698106793143124</v>
      </c>
      <c r="AB36" s="5">
        <v>0.63964129202623665</v>
      </c>
      <c r="AC36" s="5">
        <v>0.53928555733857031</v>
      </c>
      <c r="AD36" s="5">
        <v>0.54000621769927049</v>
      </c>
      <c r="AE36" s="5">
        <v>0.66456506754449141</v>
      </c>
      <c r="AF36" s="6">
        <v>0.74408762764707592</v>
      </c>
    </row>
    <row r="37" spans="1:32" x14ac:dyDescent="0.25">
      <c r="A37" s="22"/>
      <c r="B37" s="5">
        <v>5</v>
      </c>
      <c r="C37" s="4">
        <v>1.1617067473910603</v>
      </c>
      <c r="D37" s="5">
        <v>0.95387511045087381</v>
      </c>
      <c r="E37" s="5">
        <v>0.7255842166546439</v>
      </c>
      <c r="F37" s="5">
        <v>0.69363396663147692</v>
      </c>
      <c r="G37" s="5">
        <v>0.7092285951586178</v>
      </c>
      <c r="H37" s="5">
        <v>0.88358021193649983</v>
      </c>
      <c r="I37" s="5">
        <v>0.83592514255135331</v>
      </c>
      <c r="J37" s="5">
        <v>0.68924064496129844</v>
      </c>
      <c r="K37" s="5">
        <v>0.87342485948487114</v>
      </c>
      <c r="L37" s="5">
        <v>0.77456946016136397</v>
      </c>
      <c r="M37" s="5">
        <v>0.64074178296012252</v>
      </c>
      <c r="N37" s="5">
        <v>0.67792253513589829</v>
      </c>
      <c r="O37" s="5">
        <v>0.69707703782658292</v>
      </c>
      <c r="P37" s="5">
        <v>0.53057529544244075</v>
      </c>
      <c r="Q37" s="6">
        <v>0.66278066952593739</v>
      </c>
      <c r="R37" s="5">
        <v>2.2237766072476527E-2</v>
      </c>
      <c r="S37" s="5">
        <v>0.11878818940592978</v>
      </c>
      <c r="T37" s="5">
        <v>0.28196133485410863</v>
      </c>
      <c r="U37" s="5">
        <v>0.47100276906548222</v>
      </c>
      <c r="V37" s="5">
        <v>0.35131157162030674</v>
      </c>
      <c r="W37" s="5">
        <v>0.40601063743490601</v>
      </c>
      <c r="X37" s="5">
        <v>0.24169688641836373</v>
      </c>
      <c r="Y37" s="5">
        <v>0.50731995360235083</v>
      </c>
      <c r="Z37" s="5">
        <v>0.1321329302177254</v>
      </c>
      <c r="AA37" s="5">
        <v>0.28218826718712514</v>
      </c>
      <c r="AB37" s="5">
        <v>0.44813519737424778</v>
      </c>
      <c r="AC37" s="5">
        <v>0.37141100845945652</v>
      </c>
      <c r="AD37" s="5">
        <v>0.33449066912461184</v>
      </c>
      <c r="AE37" s="5">
        <v>0.60261629110052872</v>
      </c>
      <c r="AF37" s="6">
        <v>0.44452622282875742</v>
      </c>
    </row>
    <row r="38" spans="1:32" x14ac:dyDescent="0.25">
      <c r="A38" s="22"/>
      <c r="B38" s="5">
        <v>6</v>
      </c>
      <c r="C38" s="4">
        <v>1.655363676787343</v>
      </c>
      <c r="D38" s="5">
        <v>0.90796699078568754</v>
      </c>
      <c r="E38" s="5">
        <v>0.79005784177626315</v>
      </c>
      <c r="F38" s="5">
        <v>0.8238957239278929</v>
      </c>
      <c r="G38" s="5">
        <v>0.95564546778987725</v>
      </c>
      <c r="H38" s="5">
        <v>1.2672575702405897</v>
      </c>
      <c r="I38" s="5">
        <v>1.3996130378881217</v>
      </c>
      <c r="J38" s="5">
        <v>0.91112951878423964</v>
      </c>
      <c r="K38" s="5">
        <v>1.0256955462056385</v>
      </c>
      <c r="L38" s="5">
        <v>0.75688004194995562</v>
      </c>
      <c r="M38" s="5">
        <v>0.91056335984666659</v>
      </c>
      <c r="N38" s="5">
        <v>1.1924964266808098</v>
      </c>
      <c r="O38" s="5">
        <v>1.112342291128612</v>
      </c>
      <c r="P38" s="5">
        <v>0.78944523625359853</v>
      </c>
      <c r="Q38" s="6">
        <v>0.71465539144378298</v>
      </c>
      <c r="R38" s="5">
        <v>0.38276542028125943</v>
      </c>
      <c r="S38" s="5">
        <v>0.71572078927447269</v>
      </c>
      <c r="T38" s="5">
        <v>0.83562303933811832</v>
      </c>
      <c r="U38" s="5">
        <v>0.82551903545735428</v>
      </c>
      <c r="V38" s="5">
        <v>0.85608542680126598</v>
      </c>
      <c r="W38" s="5">
        <v>0.39943540109143549</v>
      </c>
      <c r="X38" s="5">
        <v>0.4912307058847849</v>
      </c>
      <c r="Y38" s="5">
        <v>0.78259026204714799</v>
      </c>
      <c r="Z38" s="5">
        <v>0.70534332317385007</v>
      </c>
      <c r="AA38" s="5">
        <v>0.83587452421211972</v>
      </c>
      <c r="AB38" s="5">
        <v>0.67649068607923446</v>
      </c>
      <c r="AC38" s="5">
        <v>0.46586281194239082</v>
      </c>
      <c r="AD38" s="5">
        <v>0.52900912404042821</v>
      </c>
      <c r="AE38" s="5">
        <v>0.82768323324300985</v>
      </c>
      <c r="AF38" s="6">
        <v>0.81559803900688543</v>
      </c>
    </row>
    <row r="39" spans="1:32" x14ac:dyDescent="0.25">
      <c r="A39" s="22"/>
      <c r="B39" s="5">
        <v>7</v>
      </c>
      <c r="C39" s="4">
        <v>0.93498718959125315</v>
      </c>
      <c r="D39" s="5">
        <v>0.93687973399350988</v>
      </c>
      <c r="E39" s="5">
        <v>0.80529672899109073</v>
      </c>
      <c r="F39" s="5">
        <v>0.85741430172836119</v>
      </c>
      <c r="G39" s="5">
        <v>0.73871099619782521</v>
      </c>
      <c r="H39" s="5">
        <v>0.83517390447035045</v>
      </c>
      <c r="I39" s="5">
        <v>1.6209686446458744</v>
      </c>
      <c r="J39" s="5">
        <v>0.81590032070917429</v>
      </c>
      <c r="K39" s="5">
        <v>0.90610458424303875</v>
      </c>
      <c r="L39" s="5">
        <v>0.90680858684357979</v>
      </c>
      <c r="M39" s="5">
        <v>0.8681032680481241</v>
      </c>
      <c r="N39" s="5">
        <v>0.88383102109118294</v>
      </c>
      <c r="O39" s="5">
        <v>0.88440622678994829</v>
      </c>
      <c r="P39" s="5">
        <v>0.80487697551489201</v>
      </c>
      <c r="Q39" s="6">
        <v>0.82291233174120682</v>
      </c>
      <c r="R39" s="5">
        <v>0.38937860455149131</v>
      </c>
      <c r="S39" s="5">
        <v>0.40625450847696182</v>
      </c>
      <c r="T39" s="5">
        <v>0.53032244642208626</v>
      </c>
      <c r="U39" s="5">
        <v>0.45639532617235634</v>
      </c>
      <c r="V39" s="5">
        <v>0.55857820690288251</v>
      </c>
      <c r="W39" s="5">
        <v>0.47424752200641124</v>
      </c>
      <c r="X39" s="5">
        <v>0.24268653122786593</v>
      </c>
      <c r="Y39" s="5">
        <v>0.47309737511880229</v>
      </c>
      <c r="Z39" s="5">
        <v>0.39315514474443297</v>
      </c>
      <c r="AA39" s="5">
        <v>0.4373322376985434</v>
      </c>
      <c r="AB39" s="5">
        <v>0.50907422826374005</v>
      </c>
      <c r="AC39" s="5">
        <v>0.41170915403506231</v>
      </c>
      <c r="AD39" s="5">
        <v>0.40171458314325675</v>
      </c>
      <c r="AE39" s="5">
        <v>0.48969506846081545</v>
      </c>
      <c r="AF39" s="6">
        <v>0.47855373490760411</v>
      </c>
    </row>
    <row r="40" spans="1:32" x14ac:dyDescent="0.25">
      <c r="A40" s="22"/>
      <c r="B40" s="5">
        <v>8</v>
      </c>
      <c r="C40" s="4">
        <v>1.3502629933077639</v>
      </c>
      <c r="D40" s="5">
        <v>0.82777387285910042</v>
      </c>
      <c r="E40" s="5">
        <v>1.0336383468195842</v>
      </c>
      <c r="F40" s="5">
        <v>0.75006233720840731</v>
      </c>
      <c r="G40" s="5">
        <v>1.2199709419500375</v>
      </c>
      <c r="H40" s="5">
        <v>0.71161348336822694</v>
      </c>
      <c r="I40" s="5">
        <v>0.97621210363066102</v>
      </c>
      <c r="J40" s="5">
        <v>1.0387031855599116</v>
      </c>
      <c r="K40" s="5">
        <v>1.1263862571721943</v>
      </c>
      <c r="L40" s="5">
        <v>0.9815203591260856</v>
      </c>
      <c r="M40" s="5">
        <v>0.76683760422610403</v>
      </c>
      <c r="N40" s="5">
        <v>0.91815376174820773</v>
      </c>
      <c r="O40" s="5">
        <v>0.8677625307364204</v>
      </c>
      <c r="P40" s="5">
        <v>0.72715061684765359</v>
      </c>
      <c r="Q40" s="6">
        <v>0.70238278264457654</v>
      </c>
      <c r="R40" s="5">
        <v>0.4983687836209898</v>
      </c>
      <c r="S40" s="5">
        <v>0.7921342713333529</v>
      </c>
      <c r="T40" s="5">
        <v>0.7580391581510233</v>
      </c>
      <c r="U40" s="5">
        <v>0.82511051580601413</v>
      </c>
      <c r="V40" s="5">
        <v>0.66508164720678631</v>
      </c>
      <c r="W40" s="5">
        <v>0.83437979523235539</v>
      </c>
      <c r="X40" s="5">
        <v>0.69171224405321641</v>
      </c>
      <c r="Y40" s="5">
        <v>0.72924930952983613</v>
      </c>
      <c r="Z40" s="5">
        <v>0.63525645639071948</v>
      </c>
      <c r="AA40" s="5">
        <v>0.79818298380752839</v>
      </c>
      <c r="AB40" s="5">
        <v>0.81498059379243515</v>
      </c>
      <c r="AC40" s="5">
        <v>0.74555271636267151</v>
      </c>
      <c r="AD40" s="5">
        <v>0.76936709715868767</v>
      </c>
      <c r="AE40" s="5">
        <v>0.85744610340117788</v>
      </c>
      <c r="AF40" s="6">
        <v>0.83911399042286394</v>
      </c>
    </row>
    <row r="41" spans="1:32" x14ac:dyDescent="0.25">
      <c r="A41" s="22"/>
      <c r="B41" s="5">
        <v>9</v>
      </c>
      <c r="C41" s="4">
        <v>0.77615782133951339</v>
      </c>
      <c r="D41" s="5">
        <v>0.5315600267588162</v>
      </c>
      <c r="E41" s="5">
        <v>0.52717361266221707</v>
      </c>
      <c r="F41" s="5">
        <v>0.5007826582278484</v>
      </c>
      <c r="G41" s="5">
        <v>0.5126658862917769</v>
      </c>
      <c r="H41" s="5">
        <v>0.49697179737888542</v>
      </c>
      <c r="I41" s="5">
        <v>0.82803847709607259</v>
      </c>
      <c r="J41" s="5">
        <v>0.53554582748195623</v>
      </c>
      <c r="K41" s="5">
        <v>0.70163345144473399</v>
      </c>
      <c r="L41" s="5">
        <v>0.63900935587673513</v>
      </c>
      <c r="M41" s="5">
        <v>0.73926801789252994</v>
      </c>
      <c r="N41" s="5">
        <v>0.68836322686034257</v>
      </c>
      <c r="O41" s="5">
        <v>0.66795477414698534</v>
      </c>
      <c r="P41" s="5">
        <v>0.46407539338973069</v>
      </c>
      <c r="Q41" s="6">
        <v>0.45487519761770906</v>
      </c>
      <c r="R41" s="5">
        <v>0.17889409639246645</v>
      </c>
      <c r="S41" s="5">
        <v>0.40663990753940521</v>
      </c>
      <c r="T41" s="5">
        <v>0.4652478594285237</v>
      </c>
      <c r="U41" s="5">
        <v>0.41118411271856836</v>
      </c>
      <c r="V41" s="5">
        <v>0.3705903554982849</v>
      </c>
      <c r="W41" s="5">
        <v>0.43265176686092066</v>
      </c>
      <c r="X41" s="5">
        <v>0.39935898636278533</v>
      </c>
      <c r="Y41" s="5">
        <v>0.32392930057426278</v>
      </c>
      <c r="Z41" s="5">
        <v>0.18660086612011242</v>
      </c>
      <c r="AA41" s="5">
        <v>0.20711356906757414</v>
      </c>
      <c r="AB41" s="5">
        <v>0.49515338142321763</v>
      </c>
      <c r="AC41" s="5">
        <v>0.43440089652815239</v>
      </c>
      <c r="AD41" s="5">
        <v>0.35963442557261505</v>
      </c>
      <c r="AE41" s="5">
        <v>0.52365358259982719</v>
      </c>
      <c r="AF41" s="6">
        <v>0.56070955605521844</v>
      </c>
    </row>
    <row r="42" spans="1:32" x14ac:dyDescent="0.25">
      <c r="A42" s="23"/>
      <c r="B42" s="11">
        <v>10</v>
      </c>
      <c r="C42" s="10">
        <v>0.80812284194958051</v>
      </c>
      <c r="D42" s="11">
        <v>0.77090342274702828</v>
      </c>
      <c r="E42" s="11">
        <v>0.76764732045690531</v>
      </c>
      <c r="F42" s="11">
        <v>0.86093343278816648</v>
      </c>
      <c r="G42" s="11">
        <v>0.78345149001528269</v>
      </c>
      <c r="H42" s="11">
        <v>0.72293248429907564</v>
      </c>
      <c r="I42" s="11">
        <v>1.5072924657029072</v>
      </c>
      <c r="J42" s="11">
        <v>0.8217787128280033</v>
      </c>
      <c r="K42" s="11">
        <v>0.93875686786688806</v>
      </c>
      <c r="L42" s="11">
        <v>0.80887556317999243</v>
      </c>
      <c r="M42" s="11">
        <v>0.8230374293951237</v>
      </c>
      <c r="N42" s="11">
        <v>0.72611271534458288</v>
      </c>
      <c r="O42" s="11">
        <v>0.7491566068244675</v>
      </c>
      <c r="P42" s="11">
        <v>0.76799028909393341</v>
      </c>
      <c r="Q42" s="12">
        <v>0.83944723478429539</v>
      </c>
      <c r="R42" s="11">
        <v>0.8196719755703894</v>
      </c>
      <c r="S42" s="11">
        <v>0.75607908429968429</v>
      </c>
      <c r="T42" s="11">
        <v>0.797575587112347</v>
      </c>
      <c r="U42" s="11">
        <v>0.67052710062636711</v>
      </c>
      <c r="V42" s="11">
        <v>0.89096634920741524</v>
      </c>
      <c r="W42" s="11">
        <v>0.77277162687185041</v>
      </c>
      <c r="X42" s="11">
        <v>3.9247274394184481E-3</v>
      </c>
      <c r="Y42" s="11">
        <v>0.8113728173479442</v>
      </c>
      <c r="Z42" s="11">
        <v>0.61299330943014274</v>
      </c>
      <c r="AA42" s="11">
        <v>0.74858673393073993</v>
      </c>
      <c r="AB42" s="11">
        <v>0.71372137527436053</v>
      </c>
      <c r="AC42" s="11">
        <v>0.76707068584995541</v>
      </c>
      <c r="AD42" s="11">
        <v>0.78682011014323749</v>
      </c>
      <c r="AE42" s="11">
        <v>0.74092566288611472</v>
      </c>
      <c r="AF42" s="12">
        <v>0.70351688242365906</v>
      </c>
    </row>
    <row r="43" spans="1:32" x14ac:dyDescent="0.25">
      <c r="A43" s="21">
        <v>1257</v>
      </c>
      <c r="B43" s="8">
        <v>1</v>
      </c>
      <c r="C43" s="7">
        <v>0.87051718636542907</v>
      </c>
      <c r="D43" s="8">
        <v>0.89192083404591838</v>
      </c>
      <c r="E43" s="8">
        <v>0.97949036623474073</v>
      </c>
      <c r="F43" s="8">
        <v>0.91703142217092726</v>
      </c>
      <c r="G43" s="8">
        <v>0.94995383754554086</v>
      </c>
      <c r="H43" s="8">
        <v>0.90635200296499963</v>
      </c>
      <c r="I43" s="8">
        <v>0.78707462848697951</v>
      </c>
      <c r="J43" s="8">
        <v>0.94407664164842409</v>
      </c>
      <c r="K43" s="8">
        <v>0.84835914160420067</v>
      </c>
      <c r="L43" s="8">
        <v>0.84713643617021139</v>
      </c>
      <c r="M43" s="8">
        <v>0.86271586929359312</v>
      </c>
      <c r="N43" s="8">
        <v>0.86724266887455814</v>
      </c>
      <c r="O43" s="8">
        <v>0.95686053265013504</v>
      </c>
      <c r="P43" s="8">
        <v>0.81208876922328099</v>
      </c>
      <c r="Q43" s="9">
        <v>0.82542840882840973</v>
      </c>
      <c r="R43" s="8">
        <v>0.61529201307899073</v>
      </c>
      <c r="S43" s="8">
        <v>0.5376830080387327</v>
      </c>
      <c r="T43" s="8">
        <v>0.57086098970798649</v>
      </c>
      <c r="U43" s="8">
        <v>0.60378144183642024</v>
      </c>
      <c r="V43" s="8">
        <v>0.58493919494919777</v>
      </c>
      <c r="W43" s="8">
        <v>0.54916131942407265</v>
      </c>
      <c r="X43" s="8">
        <v>0.82173083671706137</v>
      </c>
      <c r="Y43" s="8">
        <v>0.48945007163916199</v>
      </c>
      <c r="Z43" s="8">
        <v>0.61784835508390956</v>
      </c>
      <c r="AA43" s="8">
        <v>0.68787625604976832</v>
      </c>
      <c r="AB43" s="8">
        <v>0.5592729316709889</v>
      </c>
      <c r="AC43" s="8">
        <v>0.60715671471505361</v>
      </c>
      <c r="AD43" s="8">
        <v>0.46633172950250534</v>
      </c>
      <c r="AE43" s="8">
        <v>0.67656805895286121</v>
      </c>
      <c r="AF43" s="9">
        <v>0.6496322381145514</v>
      </c>
    </row>
    <row r="44" spans="1:32" x14ac:dyDescent="0.25">
      <c r="A44" s="22"/>
      <c r="B44" s="5">
        <v>2</v>
      </c>
      <c r="C44" s="4">
        <v>0.85235513451040479</v>
      </c>
      <c r="D44" s="5">
        <v>0.92844441100558095</v>
      </c>
      <c r="E44" s="5">
        <v>0.63964786124860662</v>
      </c>
      <c r="F44" s="5">
        <v>0.98804276517470813</v>
      </c>
      <c r="G44" s="5">
        <v>0.85788475836739453</v>
      </c>
      <c r="H44" s="5">
        <v>0.83703887446043979</v>
      </c>
      <c r="I44" s="5">
        <v>0.69253836589871809</v>
      </c>
      <c r="J44" s="5">
        <v>0.88964206285449443</v>
      </c>
      <c r="K44" s="5">
        <v>0.96840990892213774</v>
      </c>
      <c r="L44" s="5">
        <v>0.873211101692006</v>
      </c>
      <c r="M44" s="5">
        <v>0.73649320444715116</v>
      </c>
      <c r="N44" s="5">
        <v>0.98509744183659309</v>
      </c>
      <c r="O44" s="5">
        <v>0.94790177236427464</v>
      </c>
      <c r="P44" s="5">
        <v>0.82332613732555371</v>
      </c>
      <c r="Q44" s="6">
        <v>0.80347485676425079</v>
      </c>
      <c r="R44" s="5">
        <v>0.84992805841717678</v>
      </c>
      <c r="S44" s="5">
        <v>0.61530290219940875</v>
      </c>
      <c r="T44" s="5">
        <v>0.84578433366034589</v>
      </c>
      <c r="U44" s="5">
        <v>0.56382835216171212</v>
      </c>
      <c r="V44" s="5">
        <v>0.824556610043095</v>
      </c>
      <c r="W44" s="5">
        <v>0.69202386263204063</v>
      </c>
      <c r="X44" s="5">
        <v>0.7970222665019876</v>
      </c>
      <c r="Y44" s="5">
        <v>0.65992390080476881</v>
      </c>
      <c r="Z44" s="5">
        <v>0.58531904591130446</v>
      </c>
      <c r="AA44" s="5">
        <v>0.66155089222053209</v>
      </c>
      <c r="AB44" s="5">
        <v>0.75955985678231008</v>
      </c>
      <c r="AC44" s="5">
        <v>0.56179160464698275</v>
      </c>
      <c r="AD44" s="5">
        <v>0.61227514931920513</v>
      </c>
      <c r="AE44" s="5">
        <v>0.69676320990136498</v>
      </c>
      <c r="AF44" s="6">
        <v>0.71595213217013665</v>
      </c>
    </row>
    <row r="45" spans="1:32" x14ac:dyDescent="0.25">
      <c r="A45" s="22"/>
      <c r="B45" s="5">
        <v>3</v>
      </c>
      <c r="C45" s="4">
        <v>1.2022329388644428</v>
      </c>
      <c r="D45" s="5">
        <v>0.82043414323140285</v>
      </c>
      <c r="E45" s="5">
        <v>1.1295924350592119</v>
      </c>
      <c r="F45" s="5">
        <v>0.89634358059511798</v>
      </c>
      <c r="G45" s="5">
        <v>1.0182134643476892</v>
      </c>
      <c r="H45" s="5">
        <v>0.99118516407934587</v>
      </c>
      <c r="I45" s="5">
        <v>1.2219711885369413</v>
      </c>
      <c r="J45" s="5">
        <v>0.99738843602063709</v>
      </c>
      <c r="K45" s="5">
        <v>0.78606119488825665</v>
      </c>
      <c r="L45" s="5">
        <v>0.82289176804860165</v>
      </c>
      <c r="M45" s="5">
        <v>0.70528149508950844</v>
      </c>
      <c r="N45" s="5">
        <v>0.6654249780892485</v>
      </c>
      <c r="O45" s="5">
        <v>0.73376462684307264</v>
      </c>
      <c r="P45" s="5">
        <v>0.82618833984975359</v>
      </c>
      <c r="Q45" s="6">
        <v>0.90206254972206712</v>
      </c>
      <c r="R45" s="5">
        <v>0.19871678723352962</v>
      </c>
      <c r="S45" s="5">
        <v>0.67614477717332999</v>
      </c>
      <c r="T45" s="5">
        <v>0.28814946396204377</v>
      </c>
      <c r="U45" s="5">
        <v>0.58646538087487532</v>
      </c>
      <c r="V45" s="5">
        <v>0.47930921470466376</v>
      </c>
      <c r="W45" s="5">
        <v>0.46335331026168625</v>
      </c>
      <c r="X45" s="5">
        <v>0.35683818628426495</v>
      </c>
      <c r="Y45" s="5">
        <v>0.40104059057844071</v>
      </c>
      <c r="Z45" s="5">
        <v>0.72398435888193657</v>
      </c>
      <c r="AA45" s="5">
        <v>0.67777416439561644</v>
      </c>
      <c r="AB45" s="5">
        <v>0.73034050237760006</v>
      </c>
      <c r="AC45" s="5">
        <v>0.79571323688044782</v>
      </c>
      <c r="AD45" s="5">
        <v>0.71719299406940784</v>
      </c>
      <c r="AE45" s="5">
        <v>0.67225302982806434</v>
      </c>
      <c r="AF45" s="6">
        <v>0.56088846095452005</v>
      </c>
    </row>
    <row r="46" spans="1:32" x14ac:dyDescent="0.25">
      <c r="A46" s="22"/>
      <c r="B46" s="5">
        <v>4</v>
      </c>
      <c r="C46" s="4">
        <v>0.86117973153468608</v>
      </c>
      <c r="D46" s="5">
        <v>0.65615156307943312</v>
      </c>
      <c r="E46" s="5">
        <v>0.85560579969053685</v>
      </c>
      <c r="F46" s="5">
        <v>0.69083009393343819</v>
      </c>
      <c r="G46" s="5">
        <v>0.80754719278870424</v>
      </c>
      <c r="H46" s="5">
        <v>0.60253329663568511</v>
      </c>
      <c r="I46" s="5">
        <v>0.75007304029668775</v>
      </c>
      <c r="J46" s="5">
        <v>0.84228916657889341</v>
      </c>
      <c r="K46" s="5">
        <v>0.74660698171187545</v>
      </c>
      <c r="L46" s="5">
        <v>0.73837026952725404</v>
      </c>
      <c r="M46" s="5">
        <v>0.69970464148542699</v>
      </c>
      <c r="N46" s="5">
        <v>0.86177746126761323</v>
      </c>
      <c r="O46" s="5">
        <v>0.89324111719834642</v>
      </c>
      <c r="P46" s="5">
        <v>0.65429677147179677</v>
      </c>
      <c r="Q46" s="6">
        <v>0.70064705033109698</v>
      </c>
      <c r="R46" s="5">
        <v>0.61389989195303685</v>
      </c>
      <c r="S46" s="5">
        <v>0.67198938475388703</v>
      </c>
      <c r="T46" s="5">
        <v>0.48335058354091309</v>
      </c>
      <c r="U46" s="5">
        <v>0.69724772212079489</v>
      </c>
      <c r="V46" s="5">
        <v>0.53688778904774703</v>
      </c>
      <c r="W46" s="5">
        <v>0.7344259772057552</v>
      </c>
      <c r="X46" s="5">
        <v>0.57172976524909602</v>
      </c>
      <c r="Y46" s="5">
        <v>0.45468987281361395</v>
      </c>
      <c r="Z46" s="5">
        <v>0.64919702367361121</v>
      </c>
      <c r="AA46" s="5">
        <v>0.60445783923208185</v>
      </c>
      <c r="AB46" s="5">
        <v>0.64561560591272715</v>
      </c>
      <c r="AC46" s="5">
        <v>0.50543543266526136</v>
      </c>
      <c r="AD46" s="5">
        <v>0.44239700221788708</v>
      </c>
      <c r="AE46" s="5">
        <v>0.68083029531482164</v>
      </c>
      <c r="AF46" s="6">
        <v>0.69338372987360175</v>
      </c>
    </row>
    <row r="47" spans="1:32" x14ac:dyDescent="0.25">
      <c r="A47" s="22"/>
      <c r="B47" s="5">
        <v>5</v>
      </c>
      <c r="C47" s="4">
        <v>0.80530503834633982</v>
      </c>
      <c r="D47" s="5">
        <v>0.5966491484762354</v>
      </c>
      <c r="E47" s="5">
        <v>0.74174077398531446</v>
      </c>
      <c r="F47" s="5">
        <v>0.75128931575009761</v>
      </c>
      <c r="G47" s="5">
        <v>0.78517427029423437</v>
      </c>
      <c r="H47" s="5">
        <v>0.77242921336898773</v>
      </c>
      <c r="I47" s="5">
        <v>1.1264437711315569</v>
      </c>
      <c r="J47" s="5">
        <v>0.92575176658396563</v>
      </c>
      <c r="K47" s="5">
        <v>0.87990175855200814</v>
      </c>
      <c r="L47" s="5">
        <v>0.79107604943588272</v>
      </c>
      <c r="M47" s="5">
        <v>0.72657417586839212</v>
      </c>
      <c r="N47" s="5">
        <v>0.65406604551853176</v>
      </c>
      <c r="O47" s="5">
        <v>0.61823337384262378</v>
      </c>
      <c r="P47" s="5">
        <v>0.65667987009856388</v>
      </c>
      <c r="Q47" s="6">
        <v>0.68042623994247176</v>
      </c>
      <c r="R47" s="5">
        <v>0.59782505235273953</v>
      </c>
      <c r="S47" s="5">
        <v>0.87644763000466441</v>
      </c>
      <c r="T47" s="5">
        <v>0.66758121825573624</v>
      </c>
      <c r="U47" s="5">
        <v>0.74441308611435442</v>
      </c>
      <c r="V47" s="5">
        <v>0.83528743587443022</v>
      </c>
      <c r="W47" s="5">
        <v>0.70267230111326184</v>
      </c>
      <c r="X47" s="5">
        <v>0.34752793735151888</v>
      </c>
      <c r="Y47" s="5">
        <v>0.46923700422651782</v>
      </c>
      <c r="Z47" s="5">
        <v>0.67568316404532147</v>
      </c>
      <c r="AA47" s="5">
        <v>0.74968705439967098</v>
      </c>
      <c r="AB47" s="5">
        <v>0.70014399734153365</v>
      </c>
      <c r="AC47" s="5">
        <v>0.76394608958667842</v>
      </c>
      <c r="AD47" s="5">
        <v>0.79841647781752678</v>
      </c>
      <c r="AE47" s="5">
        <v>0.84412435617194215</v>
      </c>
      <c r="AF47" s="6">
        <v>0.73303074612229646</v>
      </c>
    </row>
    <row r="48" spans="1:32" x14ac:dyDescent="0.25">
      <c r="A48" s="22"/>
      <c r="B48" s="5">
        <v>6</v>
      </c>
      <c r="C48" s="4">
        <v>0.90519644367143681</v>
      </c>
      <c r="D48" s="5">
        <v>0.76801291026849494</v>
      </c>
      <c r="E48" s="5">
        <v>0.67240718381343656</v>
      </c>
      <c r="F48" s="5">
        <v>0.69189563550431255</v>
      </c>
      <c r="G48" s="5">
        <v>0.67967767376535415</v>
      </c>
      <c r="H48" s="5">
        <v>0.71479899674325686</v>
      </c>
      <c r="I48" s="5">
        <v>1.0497474322594236</v>
      </c>
      <c r="J48" s="5">
        <v>0.92396987685385779</v>
      </c>
      <c r="K48" s="5">
        <v>0.67209607497341217</v>
      </c>
      <c r="L48" s="5">
        <v>0.71558781612467626</v>
      </c>
      <c r="M48" s="5">
        <v>0.68317454918258869</v>
      </c>
      <c r="N48" s="5">
        <v>0.68199188624914486</v>
      </c>
      <c r="O48" s="5">
        <v>0.66597686889779928</v>
      </c>
      <c r="P48" s="5">
        <v>0.6435626208917693</v>
      </c>
      <c r="Q48" s="6">
        <v>0.6794750829652132</v>
      </c>
      <c r="R48" s="5">
        <v>0.42498469182095461</v>
      </c>
      <c r="S48" s="5">
        <v>0.39992933792714819</v>
      </c>
      <c r="T48" s="5">
        <v>0.57596900611762059</v>
      </c>
      <c r="U48" s="5">
        <v>0.48882240962453427</v>
      </c>
      <c r="V48" s="5">
        <v>0.50140335235736777</v>
      </c>
      <c r="W48" s="5">
        <v>0.49080443462268225</v>
      </c>
      <c r="X48" s="5">
        <v>0.4615304140801389</v>
      </c>
      <c r="Y48" s="5">
        <v>0.24871175537912579</v>
      </c>
      <c r="Z48" s="5">
        <v>0.53803733375953267</v>
      </c>
      <c r="AA48" s="5">
        <v>0.48981478507083709</v>
      </c>
      <c r="AB48" s="5">
        <v>0.54422269686450164</v>
      </c>
      <c r="AC48" s="5">
        <v>0.51908586878159457</v>
      </c>
      <c r="AD48" s="5">
        <v>0.54298687618653785</v>
      </c>
      <c r="AE48" s="5">
        <v>0.56245880066612397</v>
      </c>
      <c r="AF48" s="6">
        <v>0.51288524462449669</v>
      </c>
    </row>
    <row r="49" spans="1:32" x14ac:dyDescent="0.25">
      <c r="A49" s="22"/>
      <c r="B49" s="5">
        <v>7</v>
      </c>
      <c r="C49" s="4">
        <v>0.89804399831076664</v>
      </c>
      <c r="D49" s="5">
        <v>0.82664965700702575</v>
      </c>
      <c r="E49" s="5">
        <v>1.0292070805163556</v>
      </c>
      <c r="F49" s="5">
        <v>0.84649156662544478</v>
      </c>
      <c r="G49" s="5">
        <v>0.99808718472289937</v>
      </c>
      <c r="H49" s="5">
        <v>0.80969487932909012</v>
      </c>
      <c r="I49" s="5">
        <v>1.5731187338516177</v>
      </c>
      <c r="J49" s="5">
        <v>0.7263660693250108</v>
      </c>
      <c r="K49" s="5">
        <v>0.82055834436081787</v>
      </c>
      <c r="L49" s="5">
        <v>0.76186260754460611</v>
      </c>
      <c r="M49" s="5">
        <v>0.6875638615606916</v>
      </c>
      <c r="N49" s="5">
        <v>0.84472417934080712</v>
      </c>
      <c r="O49" s="5">
        <v>0.84286331767582567</v>
      </c>
      <c r="P49" s="5">
        <v>0.78023312877557083</v>
      </c>
      <c r="Q49" s="6">
        <v>0.76546445818116426</v>
      </c>
      <c r="R49" s="5">
        <v>0.56223501442307067</v>
      </c>
      <c r="S49" s="5">
        <v>0.33511118195450962</v>
      </c>
      <c r="T49" s="5">
        <v>0.2128094449623078</v>
      </c>
      <c r="U49" s="5">
        <v>0.48792478544446993</v>
      </c>
      <c r="V49" s="5">
        <v>0.2566439811052067</v>
      </c>
      <c r="W49" s="5">
        <v>0.44920463975618569</v>
      </c>
      <c r="X49" s="5">
        <v>1.9559770109880317E-2</v>
      </c>
      <c r="Y49" s="5">
        <v>0.52607836182253209</v>
      </c>
      <c r="Z49" s="5">
        <v>0.33217793598512269</v>
      </c>
      <c r="AA49" s="5">
        <v>0.40085225458858709</v>
      </c>
      <c r="AB49" s="5">
        <v>0.45337821580251975</v>
      </c>
      <c r="AC49" s="5">
        <v>0.30232135655009035</v>
      </c>
      <c r="AD49" s="5">
        <v>0.32243889953799088</v>
      </c>
      <c r="AE49" s="5">
        <v>0.45163860771142006</v>
      </c>
      <c r="AF49" s="6">
        <v>0.56389386665720198</v>
      </c>
    </row>
    <row r="50" spans="1:32" x14ac:dyDescent="0.25">
      <c r="A50" s="22"/>
      <c r="B50" s="5">
        <v>8</v>
      </c>
      <c r="C50" s="4">
        <v>1.1246108471238123</v>
      </c>
      <c r="D50" s="5">
        <v>0.89954534216629511</v>
      </c>
      <c r="E50" s="5">
        <v>0.86306781597481597</v>
      </c>
      <c r="F50" s="5">
        <v>0.98670815447067406</v>
      </c>
      <c r="G50" s="5">
        <v>0.93130739500698279</v>
      </c>
      <c r="H50" s="5">
        <v>0.95673539551845077</v>
      </c>
      <c r="I50" s="5">
        <v>1.0561946416430363</v>
      </c>
      <c r="J50" s="5">
        <v>0.85387010361421711</v>
      </c>
      <c r="K50" s="5">
        <v>0.93487334275949252</v>
      </c>
      <c r="L50" s="5">
        <v>0.8932962710391561</v>
      </c>
      <c r="M50" s="5">
        <v>0.85772433852522711</v>
      </c>
      <c r="N50" s="5">
        <v>0.97196614630512246</v>
      </c>
      <c r="O50" s="5">
        <v>0.9945975235668485</v>
      </c>
      <c r="P50" s="5">
        <v>0.9466940145104964</v>
      </c>
      <c r="Q50" s="6">
        <v>1.0387972448560217</v>
      </c>
      <c r="R50" s="5">
        <v>0.32116529520624743</v>
      </c>
      <c r="S50" s="5">
        <v>0.47968669557906624</v>
      </c>
      <c r="T50" s="5">
        <v>0.56141047485198547</v>
      </c>
      <c r="U50" s="5">
        <v>0.38372341652555392</v>
      </c>
      <c r="V50" s="5">
        <v>0.48625445703834025</v>
      </c>
      <c r="W50" s="5">
        <v>0.42522788380392035</v>
      </c>
      <c r="X50" s="5">
        <v>0.30900491024311139</v>
      </c>
      <c r="Y50" s="5">
        <v>0.5997945588324084</v>
      </c>
      <c r="Z50" s="5">
        <v>0.45400517899982973</v>
      </c>
      <c r="AA50" s="5">
        <v>0.52669644761159051</v>
      </c>
      <c r="AB50" s="5">
        <v>0.52686777298260545</v>
      </c>
      <c r="AC50" s="5">
        <v>0.41680325544041308</v>
      </c>
      <c r="AD50" s="5">
        <v>0.39885655010172949</v>
      </c>
      <c r="AE50" s="5">
        <v>0.43510935751495644</v>
      </c>
      <c r="AF50" s="6">
        <v>0.36557610338829011</v>
      </c>
    </row>
    <row r="51" spans="1:32" x14ac:dyDescent="0.25">
      <c r="A51" s="22"/>
      <c r="B51" s="5">
        <v>9</v>
      </c>
      <c r="C51" s="4">
        <v>2.4478038724083007</v>
      </c>
      <c r="D51" s="5">
        <v>1.1095994188200307</v>
      </c>
      <c r="E51" s="5">
        <v>1.593640458012801</v>
      </c>
      <c r="F51" s="5">
        <v>0.98979196660038959</v>
      </c>
      <c r="G51" s="5">
        <v>1.6313028089367458</v>
      </c>
      <c r="H51" s="5">
        <v>1.0906101545540918</v>
      </c>
      <c r="I51" s="5">
        <v>1.2624714585556978</v>
      </c>
      <c r="J51" s="5">
        <v>1.1850286916357764</v>
      </c>
      <c r="K51" s="5">
        <v>1.0580644196195397</v>
      </c>
      <c r="L51" s="5">
        <v>1.1563431398537878</v>
      </c>
      <c r="M51" s="5">
        <v>1.1323314255711532</v>
      </c>
      <c r="N51" s="5">
        <v>1.2763263204993203</v>
      </c>
      <c r="O51" s="5">
        <v>1.0799368940972893</v>
      </c>
      <c r="P51" s="5">
        <v>0.93636321494021046</v>
      </c>
      <c r="Q51" s="6">
        <v>0.86860447864994916</v>
      </c>
      <c r="R51" s="5">
        <v>1.9005279221469302E-5</v>
      </c>
      <c r="S51" s="5">
        <v>0.66953927756002241</v>
      </c>
      <c r="T51" s="5">
        <v>0.3039960376305833</v>
      </c>
      <c r="U51" s="5">
        <v>0.69406390335800816</v>
      </c>
      <c r="V51" s="5">
        <v>0.24763436858368693</v>
      </c>
      <c r="W51" s="5">
        <v>0.63477847954335465</v>
      </c>
      <c r="X51" s="5">
        <v>0.48859357832197475</v>
      </c>
      <c r="Y51" s="5">
        <v>0.67909036228988884</v>
      </c>
      <c r="Z51" s="5">
        <v>0.81522290414823684</v>
      </c>
      <c r="AA51" s="5">
        <v>0.76965253448295046</v>
      </c>
      <c r="AB51" s="5">
        <v>0.67439373347411646</v>
      </c>
      <c r="AC51" s="5">
        <v>0.54214524953984877</v>
      </c>
      <c r="AD51" s="5">
        <v>0.70777138729517108</v>
      </c>
      <c r="AE51" s="5">
        <v>0.74581955847928838</v>
      </c>
      <c r="AF51" s="6">
        <v>0.76741594056903528</v>
      </c>
    </row>
    <row r="52" spans="1:32" x14ac:dyDescent="0.25">
      <c r="A52" s="23"/>
      <c r="B52" s="11">
        <v>10</v>
      </c>
      <c r="C52" s="10">
        <v>0.95053495668825572</v>
      </c>
      <c r="D52" s="11">
        <v>0.71255440596104647</v>
      </c>
      <c r="E52" s="11">
        <v>0.77920648509856894</v>
      </c>
      <c r="F52" s="11">
        <v>0.79704351580183486</v>
      </c>
      <c r="G52" s="11">
        <v>0.84505830930810144</v>
      </c>
      <c r="H52" s="11">
        <v>0.68800043637994879</v>
      </c>
      <c r="I52" s="11">
        <v>1.0503673966500164</v>
      </c>
      <c r="J52" s="11">
        <v>0.71105578777852096</v>
      </c>
      <c r="K52" s="11">
        <v>0.82637102080270197</v>
      </c>
      <c r="L52" s="11">
        <v>0.7624081388955436</v>
      </c>
      <c r="M52" s="11">
        <v>0.69420424780766798</v>
      </c>
      <c r="N52" s="11">
        <v>0.85108581342394607</v>
      </c>
      <c r="O52" s="11">
        <v>0.81318028578743418</v>
      </c>
      <c r="P52" s="11">
        <v>0.63293824242074881</v>
      </c>
      <c r="Q52" s="12">
        <v>0.63341663048272046</v>
      </c>
      <c r="R52" s="11">
        <v>0.69678798484085291</v>
      </c>
      <c r="S52" s="11">
        <v>0.75723979565334143</v>
      </c>
      <c r="T52" s="11">
        <v>0.77805637306142794</v>
      </c>
      <c r="U52" s="11">
        <v>0.80134785617679416</v>
      </c>
      <c r="V52" s="11">
        <v>0.83734172008310359</v>
      </c>
      <c r="W52" s="11">
        <v>0.85561731381789885</v>
      </c>
      <c r="X52" s="11">
        <v>0.61137620981446861</v>
      </c>
      <c r="Y52" s="11">
        <v>0.89713542467681306</v>
      </c>
      <c r="Z52" s="11">
        <v>0.7306512063654903</v>
      </c>
      <c r="AA52" s="11">
        <v>0.81612415956334905</v>
      </c>
      <c r="AB52" s="11">
        <v>0.77490919742186937</v>
      </c>
      <c r="AC52" s="11">
        <v>0.65587578396265411</v>
      </c>
      <c r="AD52" s="11">
        <v>0.67506925059053269</v>
      </c>
      <c r="AE52" s="11">
        <v>0.87603064614966752</v>
      </c>
      <c r="AF52" s="12">
        <v>0.86783924785455724</v>
      </c>
    </row>
    <row r="55" spans="1:32" x14ac:dyDescent="0.25">
      <c r="B55" t="s">
        <v>20</v>
      </c>
      <c r="C55" s="26">
        <f>AVERAGE(C3:C52)</f>
        <v>1.2053921529029015</v>
      </c>
      <c r="D55" s="27">
        <f t="shared" ref="D55:AF55" si="0">AVERAGE(D3:D52)</f>
        <v>0.91312197355722802</v>
      </c>
      <c r="E55" s="27">
        <f t="shared" si="0"/>
        <v>0.93947265718242745</v>
      </c>
      <c r="F55" s="27">
        <f t="shared" si="0"/>
        <v>0.91045281955287516</v>
      </c>
      <c r="G55" s="27">
        <f t="shared" si="0"/>
        <v>0.96238564217662714</v>
      </c>
      <c r="H55" s="27">
        <f t="shared" si="0"/>
        <v>0.87844422187449933</v>
      </c>
      <c r="I55" s="27">
        <f t="shared" si="0"/>
        <v>1.0706956015859468</v>
      </c>
      <c r="J55" s="27">
        <f t="shared" si="0"/>
        <v>0.95482302415050613</v>
      </c>
      <c r="K55" s="27">
        <f t="shared" si="0"/>
        <v>0.93626997651391652</v>
      </c>
      <c r="L55" s="27">
        <f t="shared" si="0"/>
        <v>0.88626847664168407</v>
      </c>
      <c r="M55" s="27">
        <f t="shared" si="0"/>
        <v>0.86499612657219982</v>
      </c>
      <c r="N55" s="27">
        <f t="shared" si="0"/>
        <v>0.93369911718715426</v>
      </c>
      <c r="O55" s="27">
        <f t="shared" si="0"/>
        <v>0.91813811142336443</v>
      </c>
      <c r="P55" s="27">
        <f t="shared" si="0"/>
        <v>0.83228601719321349</v>
      </c>
      <c r="Q55" s="28">
        <f t="shared" si="0"/>
        <v>0.86079873990760958</v>
      </c>
      <c r="R55" s="26">
        <f t="shared" si="0"/>
        <v>0.4215031053415324</v>
      </c>
      <c r="S55" s="27">
        <f t="shared" si="0"/>
        <v>0.56226748187677211</v>
      </c>
      <c r="T55" s="27">
        <f t="shared" si="0"/>
        <v>0.53517630937990246</v>
      </c>
      <c r="U55" s="27">
        <f t="shared" si="0"/>
        <v>0.5740071095881647</v>
      </c>
      <c r="V55" s="27">
        <f t="shared" si="0"/>
        <v>0.5535467871355555</v>
      </c>
      <c r="W55" s="27">
        <f t="shared" si="0"/>
        <v>0.58223648601318279</v>
      </c>
      <c r="X55" s="27">
        <f t="shared" si="0"/>
        <v>0.48085988675870689</v>
      </c>
      <c r="Y55" s="27">
        <f t="shared" si="0"/>
        <v>0.54109905052682716</v>
      </c>
      <c r="Z55" s="27">
        <f t="shared" si="0"/>
        <v>0.55348796707127645</v>
      </c>
      <c r="AA55" s="27">
        <f t="shared" si="0"/>
        <v>0.59657166650812121</v>
      </c>
      <c r="AB55" s="27">
        <f t="shared" si="0"/>
        <v>0.59709983231372254</v>
      </c>
      <c r="AC55" s="27">
        <f t="shared" si="0"/>
        <v>0.53695040615868361</v>
      </c>
      <c r="AD55" s="27">
        <f t="shared" si="0"/>
        <v>0.54650069236308352</v>
      </c>
      <c r="AE55" s="27">
        <f t="shared" si="0"/>
        <v>0.63055646098336149</v>
      </c>
      <c r="AF55" s="28">
        <f t="shared" si="0"/>
        <v>0.60621888226685783</v>
      </c>
    </row>
    <row r="56" spans="1:32" x14ac:dyDescent="0.25">
      <c r="B56" t="s">
        <v>21</v>
      </c>
      <c r="C56" s="29">
        <f>MEDIAN(C3:C52)</f>
        <v>1.1216461108624005</v>
      </c>
      <c r="D56" s="30">
        <f t="shared" ref="D56:AF56" si="1">MEDIAN(D3:D52)</f>
        <v>0.88888265928239352</v>
      </c>
      <c r="E56" s="30">
        <f t="shared" si="1"/>
        <v>0.8596000452614132</v>
      </c>
      <c r="F56" s="30">
        <f t="shared" si="1"/>
        <v>0.85195293417690299</v>
      </c>
      <c r="G56" s="30">
        <f t="shared" si="1"/>
        <v>0.92983826848118989</v>
      </c>
      <c r="H56" s="30">
        <f t="shared" si="1"/>
        <v>0.83610638946539506</v>
      </c>
      <c r="I56" s="30">
        <f t="shared" si="1"/>
        <v>1.0433345539021794</v>
      </c>
      <c r="J56" s="30">
        <f t="shared" si="1"/>
        <v>0.91754969781904872</v>
      </c>
      <c r="K56" s="30">
        <f t="shared" si="1"/>
        <v>0.91250378257632869</v>
      </c>
      <c r="L56" s="30">
        <f t="shared" si="1"/>
        <v>0.83083705889712944</v>
      </c>
      <c r="M56" s="30">
        <f t="shared" si="1"/>
        <v>0.83243031167396864</v>
      </c>
      <c r="N56" s="30">
        <f t="shared" si="1"/>
        <v>0.87553684498287054</v>
      </c>
      <c r="O56" s="30">
        <f t="shared" si="1"/>
        <v>0.8842231946467578</v>
      </c>
      <c r="P56" s="30">
        <f t="shared" si="1"/>
        <v>0.78467125672502447</v>
      </c>
      <c r="Q56" s="31">
        <f t="shared" si="1"/>
        <v>0.81319359425272886</v>
      </c>
      <c r="R56" s="29">
        <f t="shared" si="1"/>
        <v>0.4188770704238487</v>
      </c>
      <c r="S56" s="30">
        <f t="shared" si="1"/>
        <v>0.5971624291477633</v>
      </c>
      <c r="T56" s="30">
        <f t="shared" si="1"/>
        <v>0.56613573227998604</v>
      </c>
      <c r="U56" s="30">
        <f t="shared" si="1"/>
        <v>0.5799770919493894</v>
      </c>
      <c r="V56" s="30">
        <f t="shared" si="1"/>
        <v>0.55025222702495691</v>
      </c>
      <c r="W56" s="30">
        <f t="shared" si="1"/>
        <v>0.6038396322208065</v>
      </c>
      <c r="X56" s="30">
        <f t="shared" si="1"/>
        <v>0.50737350858148722</v>
      </c>
      <c r="Y56" s="30">
        <f t="shared" si="1"/>
        <v>0.57074648162524599</v>
      </c>
      <c r="Z56" s="30">
        <f t="shared" si="1"/>
        <v>0.61542083225702615</v>
      </c>
      <c r="AA56" s="30">
        <f t="shared" si="1"/>
        <v>0.64814091332311241</v>
      </c>
      <c r="AB56" s="30">
        <f t="shared" si="1"/>
        <v>0.64161968466948893</v>
      </c>
      <c r="AC56" s="30">
        <f t="shared" si="1"/>
        <v>0.52940198496147095</v>
      </c>
      <c r="AD56" s="30">
        <f t="shared" si="1"/>
        <v>0.54149654694290417</v>
      </c>
      <c r="AE56" s="30">
        <f t="shared" si="1"/>
        <v>0.66840904868627793</v>
      </c>
      <c r="AF56" s="31">
        <f t="shared" si="1"/>
        <v>0.63497723563413422</v>
      </c>
    </row>
    <row r="57" spans="1:32" x14ac:dyDescent="0.25">
      <c r="B57" t="s">
        <v>22</v>
      </c>
      <c r="C57" s="29">
        <f>LARGE(C3:C53,1)</f>
        <v>2.4924627879496679</v>
      </c>
      <c r="D57" s="30">
        <f t="shared" ref="D57:AF57" si="2">LARGE(D3:D53,1)</f>
        <v>2.0471925150484953</v>
      </c>
      <c r="E57" s="30">
        <f t="shared" si="2"/>
        <v>2.1719779217289097</v>
      </c>
      <c r="F57" s="30">
        <f t="shared" si="2"/>
        <v>1.9736241625084889</v>
      </c>
      <c r="G57" s="30">
        <f t="shared" si="2"/>
        <v>1.7734132184441203</v>
      </c>
      <c r="H57" s="30">
        <f t="shared" si="2"/>
        <v>2.0567016986277853</v>
      </c>
      <c r="I57" s="30">
        <f t="shared" si="2"/>
        <v>2.0252047956711889</v>
      </c>
      <c r="J57" s="30">
        <f t="shared" si="2"/>
        <v>1.9239876991983775</v>
      </c>
      <c r="K57" s="30">
        <f t="shared" si="2"/>
        <v>1.9561374363784489</v>
      </c>
      <c r="L57" s="30">
        <f t="shared" si="2"/>
        <v>2.0079329436584157</v>
      </c>
      <c r="M57" s="30">
        <f t="shared" si="2"/>
        <v>2.0804699743935662</v>
      </c>
      <c r="N57" s="30">
        <f t="shared" si="2"/>
        <v>1.9646764334240256</v>
      </c>
      <c r="O57" s="30">
        <f t="shared" si="2"/>
        <v>1.9770979466094365</v>
      </c>
      <c r="P57" s="30">
        <f t="shared" si="2"/>
        <v>2.2648119559047464</v>
      </c>
      <c r="Q57" s="31">
        <f t="shared" si="2"/>
        <v>2.1548201781123177</v>
      </c>
      <c r="R57" s="29">
        <f t="shared" si="2"/>
        <v>0.84992805841717678</v>
      </c>
      <c r="S57" s="30">
        <f t="shared" si="2"/>
        <v>0.87644763000466441</v>
      </c>
      <c r="T57" s="30">
        <f t="shared" si="2"/>
        <v>0.84578433366034589</v>
      </c>
      <c r="U57" s="30">
        <f t="shared" si="2"/>
        <v>0.86098571023646708</v>
      </c>
      <c r="V57" s="30">
        <f t="shared" si="2"/>
        <v>0.89096634920741524</v>
      </c>
      <c r="W57" s="30">
        <f t="shared" si="2"/>
        <v>0.88464327260982545</v>
      </c>
      <c r="X57" s="30">
        <f t="shared" si="2"/>
        <v>0.86025915577719636</v>
      </c>
      <c r="Y57" s="30">
        <f t="shared" si="2"/>
        <v>0.89713542467681306</v>
      </c>
      <c r="Z57" s="30">
        <f t="shared" si="2"/>
        <v>0.86606748863348426</v>
      </c>
      <c r="AA57" s="30">
        <f t="shared" si="2"/>
        <v>0.88529159551745207</v>
      </c>
      <c r="AB57" s="30">
        <f t="shared" si="2"/>
        <v>0.90728212984375467</v>
      </c>
      <c r="AC57" s="30">
        <f t="shared" si="2"/>
        <v>0.83204571592264354</v>
      </c>
      <c r="AD57" s="30">
        <f t="shared" si="2"/>
        <v>0.88803175005939627</v>
      </c>
      <c r="AE57" s="30">
        <f t="shared" si="2"/>
        <v>0.89528125607721709</v>
      </c>
      <c r="AF57" s="31">
        <f t="shared" si="2"/>
        <v>0.88037348686165184</v>
      </c>
    </row>
    <row r="58" spans="1:32" x14ac:dyDescent="0.25">
      <c r="B58" t="s">
        <v>23</v>
      </c>
      <c r="C58" s="32">
        <f>SMALL(C3:C53,1)</f>
        <v>0.65057797792154015</v>
      </c>
      <c r="D58" s="33">
        <f t="shared" ref="D58:AF58" si="3">SMALL(D3:D53,1)</f>
        <v>0.5315600267588162</v>
      </c>
      <c r="E58" s="33">
        <f t="shared" si="3"/>
        <v>0.51616258988738217</v>
      </c>
      <c r="F58" s="33">
        <f t="shared" si="3"/>
        <v>0.5007826582278484</v>
      </c>
      <c r="G58" s="33">
        <f t="shared" si="3"/>
        <v>0.37319604161290143</v>
      </c>
      <c r="H58" s="33">
        <f t="shared" si="3"/>
        <v>0.48302047223021499</v>
      </c>
      <c r="I58" s="33">
        <f t="shared" si="3"/>
        <v>0.63713617140837064</v>
      </c>
      <c r="J58" s="33">
        <f t="shared" si="3"/>
        <v>0.53554582748195623</v>
      </c>
      <c r="K58" s="33">
        <f t="shared" si="3"/>
        <v>0.44709897633857326</v>
      </c>
      <c r="L58" s="33">
        <f t="shared" si="3"/>
        <v>0.36159394958784702</v>
      </c>
      <c r="M58" s="33">
        <f t="shared" si="3"/>
        <v>0.51687260759720433</v>
      </c>
      <c r="N58" s="33">
        <f t="shared" si="3"/>
        <v>0.61634865751496537</v>
      </c>
      <c r="O58" s="33">
        <f t="shared" si="3"/>
        <v>0.57471839899496302</v>
      </c>
      <c r="P58" s="33">
        <f t="shared" si="3"/>
        <v>0.46407539338973069</v>
      </c>
      <c r="Q58" s="34">
        <f t="shared" si="3"/>
        <v>0.45487519761770906</v>
      </c>
      <c r="R58" s="32">
        <f t="shared" si="3"/>
        <v>1.9005279221469302E-5</v>
      </c>
      <c r="S58" s="33">
        <f t="shared" si="3"/>
        <v>0.10297422508180261</v>
      </c>
      <c r="T58" s="33">
        <f t="shared" si="3"/>
        <v>2.1232273229805129E-2</v>
      </c>
      <c r="U58" s="33">
        <f t="shared" si="3"/>
        <v>3.4037639843314357E-2</v>
      </c>
      <c r="V58" s="33">
        <f t="shared" si="3"/>
        <v>2.6209255119312016E-2</v>
      </c>
      <c r="W58" s="33">
        <f t="shared" si="3"/>
        <v>1.4203456426741951E-2</v>
      </c>
      <c r="X58" s="33">
        <f t="shared" si="3"/>
        <v>3.9247274394184481E-3</v>
      </c>
      <c r="Y58" s="33">
        <f t="shared" si="3"/>
        <v>0.10747446489852884</v>
      </c>
      <c r="Z58" s="33">
        <f t="shared" si="3"/>
        <v>4.0784296131860624E-2</v>
      </c>
      <c r="AA58" s="33">
        <f t="shared" si="3"/>
        <v>6.5873899672434871E-2</v>
      </c>
      <c r="AB58" s="33">
        <f t="shared" si="3"/>
        <v>5.4019732633722714E-2</v>
      </c>
      <c r="AC58" s="33">
        <f t="shared" si="3"/>
        <v>4.6929471170985601E-2</v>
      </c>
      <c r="AD58" s="33">
        <f t="shared" si="3"/>
        <v>8.1867351125828353E-2</v>
      </c>
      <c r="AE58" s="33">
        <f t="shared" si="3"/>
        <v>0.14030568280766634</v>
      </c>
      <c r="AF58" s="34">
        <f t="shared" si="3"/>
        <v>7.4394040600011896E-2</v>
      </c>
    </row>
    <row r="59" spans="1:32" x14ac:dyDescent="0.25">
      <c r="B59" s="24" t="s">
        <v>24</v>
      </c>
      <c r="C59" s="35">
        <f>_xlfn.STDEV.P(C3:C53)</f>
        <v>0.45255556250805223</v>
      </c>
      <c r="D59" s="35">
        <f>_xlfn.STDEV.P(D3:D53)</f>
        <v>0.24128460866097892</v>
      </c>
      <c r="E59" s="35">
        <f t="shared" ref="E59:AF59" si="4">_xlfn.STDEV.P(E3:E53)</f>
        <v>0.31013597920909641</v>
      </c>
      <c r="F59" s="35">
        <f t="shared" si="4"/>
        <v>0.27579774880430274</v>
      </c>
      <c r="G59" s="35">
        <f t="shared" si="4"/>
        <v>0.29025421742221319</v>
      </c>
      <c r="H59" s="35">
        <f t="shared" si="4"/>
        <v>0.25311606813581899</v>
      </c>
      <c r="I59" s="35">
        <f t="shared" si="4"/>
        <v>0.27338437974965596</v>
      </c>
      <c r="J59" s="35">
        <f t="shared" si="4"/>
        <v>0.23430803617951296</v>
      </c>
      <c r="K59" s="35">
        <f t="shared" si="4"/>
        <v>0.22315139798157052</v>
      </c>
      <c r="L59" s="35">
        <f t="shared" si="4"/>
        <v>0.24341120412419295</v>
      </c>
      <c r="M59" s="35">
        <f t="shared" si="4"/>
        <v>0.26036597726691085</v>
      </c>
      <c r="N59" s="35">
        <f t="shared" si="4"/>
        <v>0.25202374042321063</v>
      </c>
      <c r="O59" s="35">
        <f t="shared" si="4"/>
        <v>0.23987530540066085</v>
      </c>
      <c r="P59" s="35">
        <f t="shared" si="4"/>
        <v>0.27722444162995508</v>
      </c>
      <c r="Q59" s="35">
        <f t="shared" si="4"/>
        <v>0.25796820156611544</v>
      </c>
      <c r="R59" s="35">
        <f t="shared" si="4"/>
        <v>0.2289425017861155</v>
      </c>
      <c r="S59" s="35">
        <f t="shared" si="4"/>
        <v>0.19506271140284853</v>
      </c>
      <c r="T59" s="35">
        <f t="shared" si="4"/>
        <v>0.2221766767426189</v>
      </c>
      <c r="U59" s="35">
        <f t="shared" si="4"/>
        <v>0.19661798887021403</v>
      </c>
      <c r="V59" s="35">
        <f t="shared" si="4"/>
        <v>0.22685457974158038</v>
      </c>
      <c r="W59" s="35">
        <f t="shared" si="4"/>
        <v>0.19934550722240887</v>
      </c>
      <c r="X59" s="35">
        <f t="shared" si="4"/>
        <v>0.23013543613761539</v>
      </c>
      <c r="Y59" s="35">
        <f t="shared" si="4"/>
        <v>0.18130963643903569</v>
      </c>
      <c r="Z59" s="35">
        <f t="shared" si="4"/>
        <v>0.20573798872360857</v>
      </c>
      <c r="AA59" s="35">
        <f t="shared" si="4"/>
        <v>0.21641906685298606</v>
      </c>
      <c r="AB59" s="35">
        <f t="shared" si="4"/>
        <v>0.19606861233350276</v>
      </c>
      <c r="AC59" s="35">
        <f t="shared" si="4"/>
        <v>0.19412853483843376</v>
      </c>
      <c r="AD59" s="35">
        <f t="shared" si="4"/>
        <v>0.19006427970321324</v>
      </c>
      <c r="AE59" s="35">
        <f t="shared" si="4"/>
        <v>0.19556514949495341</v>
      </c>
      <c r="AF59" s="35">
        <f t="shared" si="4"/>
        <v>0.19461579609998877</v>
      </c>
    </row>
    <row r="60" spans="1:32" x14ac:dyDescent="0.25">
      <c r="B60" s="24" t="s">
        <v>25</v>
      </c>
      <c r="C60" s="35">
        <f>_xlfn.STDEV.S(C3:C53)</f>
        <v>0.45715015301876616</v>
      </c>
      <c r="D60" s="35">
        <f t="shared" ref="D60:AF60" si="5">_xlfn.STDEV.S(D3:D53)</f>
        <v>0.24373426140017229</v>
      </c>
      <c r="E60" s="35">
        <f t="shared" si="5"/>
        <v>0.31328464855526028</v>
      </c>
      <c r="F60" s="35">
        <f t="shared" si="5"/>
        <v>0.27859779773643784</v>
      </c>
      <c r="G60" s="35">
        <f t="shared" si="5"/>
        <v>0.29320103629605926</v>
      </c>
      <c r="H60" s="35">
        <f t="shared" si="5"/>
        <v>0.25568584029444802</v>
      </c>
      <c r="I60" s="35">
        <f t="shared" si="5"/>
        <v>0.27615992684494284</v>
      </c>
      <c r="J60" s="35">
        <f t="shared" si="5"/>
        <v>0.23668685895576649</v>
      </c>
      <c r="K60" s="35">
        <f t="shared" si="5"/>
        <v>0.22541695249146634</v>
      </c>
      <c r="L60" s="35">
        <f t="shared" si="5"/>
        <v>0.24588244721857103</v>
      </c>
      <c r="M60" s="35">
        <f t="shared" si="5"/>
        <v>0.26300935445099288</v>
      </c>
      <c r="N60" s="35">
        <f t="shared" si="5"/>
        <v>0.25458242267607206</v>
      </c>
      <c r="O60" s="35">
        <f t="shared" si="5"/>
        <v>0.2423106501257162</v>
      </c>
      <c r="P60" s="35">
        <f t="shared" si="5"/>
        <v>0.28003897512456499</v>
      </c>
      <c r="Q60" s="35">
        <f t="shared" si="5"/>
        <v>0.26058723522556904</v>
      </c>
      <c r="R60" s="35">
        <f t="shared" si="5"/>
        <v>0.23126685073539366</v>
      </c>
      <c r="S60" s="35">
        <f t="shared" si="5"/>
        <v>0.19704309427084099</v>
      </c>
      <c r="T60" s="35">
        <f t="shared" si="5"/>
        <v>0.22443233535171042</v>
      </c>
      <c r="U60" s="35">
        <f t="shared" si="5"/>
        <v>0.19861416176198493</v>
      </c>
      <c r="V60" s="35">
        <f t="shared" si="5"/>
        <v>0.22915773096927985</v>
      </c>
      <c r="W60" s="35">
        <f t="shared" si="5"/>
        <v>0.20136937136576749</v>
      </c>
      <c r="X60" s="35">
        <f t="shared" si="5"/>
        <v>0.23247189640604496</v>
      </c>
      <c r="Y60" s="35">
        <f t="shared" si="5"/>
        <v>0.18315039060072816</v>
      </c>
      <c r="Z60" s="35">
        <f t="shared" si="5"/>
        <v>0.20782675282020727</v>
      </c>
      <c r="AA60" s="35">
        <f t="shared" si="5"/>
        <v>0.21861627107115894</v>
      </c>
      <c r="AB60" s="35">
        <f t="shared" si="5"/>
        <v>0.19805920765550891</v>
      </c>
      <c r="AC60" s="35">
        <f t="shared" si="5"/>
        <v>0.19609943343723635</v>
      </c>
      <c r="AD60" s="35">
        <f t="shared" si="5"/>
        <v>0.191993915770684</v>
      </c>
      <c r="AE60" s="35">
        <f t="shared" si="5"/>
        <v>0.19755063338806073</v>
      </c>
      <c r="AF60" s="35">
        <f t="shared" si="5"/>
        <v>0.19659164164045778</v>
      </c>
    </row>
  </sheetData>
  <mergeCells count="7">
    <mergeCell ref="A43:A52"/>
    <mergeCell ref="C1:Q1"/>
    <mergeCell ref="R1:AF1"/>
    <mergeCell ref="A3:A12"/>
    <mergeCell ref="A13:A22"/>
    <mergeCell ref="A23:A32"/>
    <mergeCell ref="A33:A42"/>
  </mergeCells>
  <conditionalFormatting sqref="B55:B60">
    <cfRule type="duplicateValues" dxfId="2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102</vt:lpstr>
      <vt:lpstr>459</vt:lpstr>
      <vt:lpstr>854</vt:lpstr>
      <vt:lpstr>912</vt:lpstr>
      <vt:lpstr>1257</vt:lpstr>
      <vt:lpstr>Combined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Will</cp:lastModifiedBy>
  <dcterms:created xsi:type="dcterms:W3CDTF">2014-02-04T19:45:05Z</dcterms:created>
  <dcterms:modified xsi:type="dcterms:W3CDTF">2014-02-04T20:00:39Z</dcterms:modified>
</cp:coreProperties>
</file>