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5440" windowHeight="12435" activeTab="5"/>
  </bookViews>
  <sheets>
    <sheet name="102" sheetId="1" r:id="rId1"/>
    <sheet name="459" sheetId="2" r:id="rId2"/>
    <sheet name="854" sheetId="3" r:id="rId3"/>
    <sheet name="912" sheetId="4" r:id="rId4"/>
    <sheet name="1257" sheetId="5" r:id="rId5"/>
    <sheet name="Combined" sheetId="6" r:id="rId6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80" i="6" l="1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AF76" i="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AF75" i="6"/>
  <c r="AE75" i="6"/>
  <c r="AD75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AF62" i="6"/>
  <c r="AF84" i="6" s="1"/>
  <c r="AE62" i="6"/>
  <c r="AE83" i="6" s="1"/>
  <c r="AD62" i="6"/>
  <c r="AD84" i="6" s="1"/>
  <c r="AC62" i="6"/>
  <c r="AC83" i="6" s="1"/>
  <c r="AB62" i="6"/>
  <c r="AB84" i="6" s="1"/>
  <c r="AA62" i="6"/>
  <c r="AA83" i="6" s="1"/>
  <c r="Z62" i="6"/>
  <c r="Z84" i="6" s="1"/>
  <c r="Y62" i="6"/>
  <c r="Y83" i="6" s="1"/>
  <c r="X62" i="6"/>
  <c r="X84" i="6" s="1"/>
  <c r="W62" i="6"/>
  <c r="W83" i="6" s="1"/>
  <c r="V62" i="6"/>
  <c r="V84" i="6" s="1"/>
  <c r="U62" i="6"/>
  <c r="U83" i="6" s="1"/>
  <c r="T62" i="6"/>
  <c r="T84" i="6" s="1"/>
  <c r="S62" i="6"/>
  <c r="S83" i="6" s="1"/>
  <c r="R62" i="6"/>
  <c r="R84" i="6" s="1"/>
  <c r="Q62" i="6"/>
  <c r="Q83" i="6" s="1"/>
  <c r="P62" i="6"/>
  <c r="P84" i="6" s="1"/>
  <c r="O62" i="6"/>
  <c r="O83" i="6" s="1"/>
  <c r="N62" i="6"/>
  <c r="N84" i="6" s="1"/>
  <c r="M62" i="6"/>
  <c r="M83" i="6" s="1"/>
  <c r="L62" i="6"/>
  <c r="L84" i="6" s="1"/>
  <c r="K62" i="6"/>
  <c r="K83" i="6" s="1"/>
  <c r="J62" i="6"/>
  <c r="J84" i="6" s="1"/>
  <c r="I62" i="6"/>
  <c r="I83" i="6" s="1"/>
  <c r="H62" i="6"/>
  <c r="H84" i="6" s="1"/>
  <c r="G80" i="6"/>
  <c r="G79" i="6"/>
  <c r="G78" i="6"/>
  <c r="G76" i="6"/>
  <c r="G75" i="6"/>
  <c r="G74" i="6"/>
  <c r="G72" i="6"/>
  <c r="G71" i="6"/>
  <c r="G70" i="6"/>
  <c r="G68" i="6"/>
  <c r="G67" i="6"/>
  <c r="G66" i="6"/>
  <c r="G64" i="6"/>
  <c r="G63" i="6"/>
  <c r="G62" i="6"/>
  <c r="G84" i="6" s="1"/>
  <c r="F80" i="6"/>
  <c r="F79" i="6"/>
  <c r="F78" i="6"/>
  <c r="F76" i="6"/>
  <c r="F75" i="6"/>
  <c r="F74" i="6"/>
  <c r="F72" i="6"/>
  <c r="F71" i="6"/>
  <c r="F70" i="6"/>
  <c r="F68" i="6"/>
  <c r="F67" i="6"/>
  <c r="F66" i="6"/>
  <c r="F64" i="6"/>
  <c r="F63" i="6"/>
  <c r="F62" i="6"/>
  <c r="F84" i="6" s="1"/>
  <c r="E80" i="6"/>
  <c r="E79" i="6"/>
  <c r="E78" i="6"/>
  <c r="E76" i="6"/>
  <c r="E75" i="6"/>
  <c r="E74" i="6"/>
  <c r="E72" i="6"/>
  <c r="E71" i="6"/>
  <c r="E70" i="6"/>
  <c r="E68" i="6"/>
  <c r="E67" i="6"/>
  <c r="E66" i="6"/>
  <c r="E64" i="6"/>
  <c r="E63" i="6"/>
  <c r="E62" i="6"/>
  <c r="E84" i="6" s="1"/>
  <c r="D80" i="6"/>
  <c r="D79" i="6"/>
  <c r="D78" i="6"/>
  <c r="D76" i="6"/>
  <c r="D75" i="6"/>
  <c r="D74" i="6"/>
  <c r="D72" i="6"/>
  <c r="D71" i="6"/>
  <c r="D70" i="6"/>
  <c r="D68" i="6"/>
  <c r="D67" i="6"/>
  <c r="D66" i="6"/>
  <c r="D64" i="6"/>
  <c r="D63" i="6"/>
  <c r="D62" i="6"/>
  <c r="D84" i="6" s="1"/>
  <c r="C84" i="6"/>
  <c r="C83" i="6"/>
  <c r="A78" i="6"/>
  <c r="A74" i="6"/>
  <c r="A70" i="6"/>
  <c r="A66" i="6"/>
  <c r="A62" i="6"/>
  <c r="I82" i="6" l="1"/>
  <c r="K82" i="6"/>
  <c r="M82" i="6"/>
  <c r="O82" i="6"/>
  <c r="Q82" i="6"/>
  <c r="S82" i="6"/>
  <c r="U82" i="6"/>
  <c r="W82" i="6"/>
  <c r="Y82" i="6"/>
  <c r="AA82" i="6"/>
  <c r="AC82" i="6"/>
  <c r="AE82" i="6"/>
  <c r="H83" i="6"/>
  <c r="J83" i="6"/>
  <c r="L83" i="6"/>
  <c r="N83" i="6"/>
  <c r="P83" i="6"/>
  <c r="R83" i="6"/>
  <c r="T83" i="6"/>
  <c r="V83" i="6"/>
  <c r="X83" i="6"/>
  <c r="Z83" i="6"/>
  <c r="AB83" i="6"/>
  <c r="AD83" i="6"/>
  <c r="AF83" i="6"/>
  <c r="I84" i="6"/>
  <c r="K84" i="6"/>
  <c r="M84" i="6"/>
  <c r="O84" i="6"/>
  <c r="Q84" i="6"/>
  <c r="S84" i="6"/>
  <c r="U84" i="6"/>
  <c r="W84" i="6"/>
  <c r="Y84" i="6"/>
  <c r="AA84" i="6"/>
  <c r="AC84" i="6"/>
  <c r="AE84" i="6"/>
  <c r="H82" i="6"/>
  <c r="J82" i="6"/>
  <c r="L82" i="6"/>
  <c r="N82" i="6"/>
  <c r="P82" i="6"/>
  <c r="R82" i="6"/>
  <c r="T82" i="6"/>
  <c r="V82" i="6"/>
  <c r="X82" i="6"/>
  <c r="Z82" i="6"/>
  <c r="AB82" i="6"/>
  <c r="AD82" i="6"/>
  <c r="AF82" i="6"/>
  <c r="G83" i="6"/>
  <c r="G82" i="6"/>
  <c r="F83" i="6"/>
  <c r="F82" i="6"/>
  <c r="E83" i="6"/>
  <c r="E82" i="6"/>
  <c r="D83" i="6"/>
  <c r="D8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C63" i="6" l="1"/>
  <c r="C64" i="6"/>
  <c r="C62" i="6"/>
  <c r="C68" i="6"/>
  <c r="C66" i="6"/>
  <c r="C67" i="6"/>
  <c r="C71" i="6"/>
  <c r="C72" i="6"/>
  <c r="C70" i="6"/>
  <c r="C76" i="6"/>
  <c r="C74" i="6"/>
  <c r="C75" i="6"/>
  <c r="C79" i="6"/>
  <c r="C80" i="6"/>
  <c r="C78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C59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AC15" i="5"/>
  <c r="Y15" i="5"/>
  <c r="U15" i="5"/>
  <c r="Q15" i="5"/>
  <c r="M15" i="5"/>
  <c r="I15" i="5"/>
  <c r="E15" i="5"/>
  <c r="AE15" i="5"/>
  <c r="AD15" i="5"/>
  <c r="AC14" i="5"/>
  <c r="AB14" i="5"/>
  <c r="AA15" i="5"/>
  <c r="Z15" i="5"/>
  <c r="Y14" i="5"/>
  <c r="X14" i="5"/>
  <c r="W15" i="5"/>
  <c r="V15" i="5"/>
  <c r="U14" i="5"/>
  <c r="T14" i="5"/>
  <c r="S15" i="5"/>
  <c r="R15" i="5"/>
  <c r="Q14" i="5"/>
  <c r="P14" i="5"/>
  <c r="O15" i="5"/>
  <c r="N15" i="5"/>
  <c r="M14" i="5"/>
  <c r="L14" i="5"/>
  <c r="K15" i="5"/>
  <c r="J15" i="5"/>
  <c r="I14" i="5"/>
  <c r="H14" i="5"/>
  <c r="G15" i="5"/>
  <c r="F15" i="5"/>
  <c r="E14" i="5"/>
  <c r="D14" i="5"/>
  <c r="C15" i="5"/>
  <c r="B15" i="5"/>
  <c r="C82" i="6" l="1"/>
  <c r="B14" i="5"/>
  <c r="F14" i="5"/>
  <c r="J14" i="5"/>
  <c r="N14" i="5"/>
  <c r="R14" i="5"/>
  <c r="V14" i="5"/>
  <c r="Z14" i="5"/>
  <c r="AD14" i="5"/>
  <c r="D15" i="5"/>
  <c r="H15" i="5"/>
  <c r="L15" i="5"/>
  <c r="P15" i="5"/>
  <c r="T15" i="5"/>
  <c r="X15" i="5"/>
  <c r="AB15" i="5"/>
  <c r="C14" i="5"/>
  <c r="G14" i="5"/>
  <c r="K14" i="5"/>
  <c r="O14" i="5"/>
  <c r="S14" i="5"/>
  <c r="W14" i="5"/>
  <c r="AA14" i="5"/>
  <c r="AE14" i="5"/>
  <c r="AC15" i="4" l="1"/>
  <c r="AB15" i="4"/>
  <c r="Y15" i="4"/>
  <c r="X15" i="4"/>
  <c r="U15" i="4"/>
  <c r="T15" i="4"/>
  <c r="Q15" i="4"/>
  <c r="P15" i="4"/>
  <c r="M15" i="4"/>
  <c r="L15" i="4"/>
  <c r="I15" i="4"/>
  <c r="H15" i="4"/>
  <c r="E15" i="4"/>
  <c r="D15" i="4"/>
  <c r="AE15" i="4"/>
  <c r="AD15" i="4"/>
  <c r="AC14" i="4"/>
  <c r="AB14" i="4"/>
  <c r="AA15" i="4"/>
  <c r="Z14" i="4"/>
  <c r="Y14" i="4"/>
  <c r="X14" i="4"/>
  <c r="W15" i="4"/>
  <c r="V15" i="4"/>
  <c r="U14" i="4"/>
  <c r="T14" i="4"/>
  <c r="S15" i="4"/>
  <c r="R14" i="4"/>
  <c r="Q14" i="4"/>
  <c r="P14" i="4"/>
  <c r="O15" i="4"/>
  <c r="N15" i="4"/>
  <c r="M14" i="4"/>
  <c r="L14" i="4"/>
  <c r="K15" i="4"/>
  <c r="J14" i="4"/>
  <c r="I14" i="4"/>
  <c r="H14" i="4"/>
  <c r="G15" i="4"/>
  <c r="F15" i="4"/>
  <c r="E14" i="4"/>
  <c r="D14" i="4"/>
  <c r="C15" i="4"/>
  <c r="B14" i="4"/>
  <c r="F14" i="4" l="1"/>
  <c r="N14" i="4"/>
  <c r="V14" i="4"/>
  <c r="AD14" i="4"/>
  <c r="C14" i="4"/>
  <c r="K14" i="4"/>
  <c r="S14" i="4"/>
  <c r="AA14" i="4"/>
  <c r="B15" i="4"/>
  <c r="J15" i="4"/>
  <c r="R15" i="4"/>
  <c r="Z15" i="4"/>
  <c r="G14" i="4"/>
  <c r="O14" i="4"/>
  <c r="W14" i="4"/>
  <c r="AE14" i="4"/>
  <c r="AC15" i="3" l="1"/>
  <c r="AB15" i="3"/>
  <c r="Y15" i="3"/>
  <c r="X15" i="3"/>
  <c r="U15" i="3"/>
  <c r="T15" i="3"/>
  <c r="Q15" i="3"/>
  <c r="P15" i="3"/>
  <c r="M15" i="3"/>
  <c r="L15" i="3"/>
  <c r="I15" i="3"/>
  <c r="H15" i="3"/>
  <c r="E15" i="3"/>
  <c r="D15" i="3"/>
  <c r="AE15" i="3"/>
  <c r="AD15" i="3"/>
  <c r="AC14" i="3"/>
  <c r="AB14" i="3"/>
  <c r="AA15" i="3"/>
  <c r="Z15" i="3"/>
  <c r="Y14" i="3"/>
  <c r="X14" i="3"/>
  <c r="W15" i="3"/>
  <c r="V15" i="3"/>
  <c r="U14" i="3"/>
  <c r="T14" i="3"/>
  <c r="S15" i="3"/>
  <c r="R15" i="3"/>
  <c r="Q14" i="3"/>
  <c r="P14" i="3"/>
  <c r="O15" i="3"/>
  <c r="N15" i="3"/>
  <c r="M14" i="3"/>
  <c r="L14" i="3"/>
  <c r="K15" i="3"/>
  <c r="J15" i="3"/>
  <c r="I14" i="3"/>
  <c r="H14" i="3"/>
  <c r="G15" i="3"/>
  <c r="F15" i="3"/>
  <c r="E14" i="3"/>
  <c r="D14" i="3"/>
  <c r="C15" i="3"/>
  <c r="B15" i="3"/>
  <c r="B14" i="3" l="1"/>
  <c r="F14" i="3"/>
  <c r="J14" i="3"/>
  <c r="N14" i="3"/>
  <c r="R14" i="3"/>
  <c r="V14" i="3"/>
  <c r="Z14" i="3"/>
  <c r="AD14" i="3"/>
  <c r="C14" i="3"/>
  <c r="G14" i="3"/>
  <c r="K14" i="3"/>
  <c r="O14" i="3"/>
  <c r="S14" i="3"/>
  <c r="W14" i="3"/>
  <c r="AA14" i="3"/>
  <c r="AE14" i="3"/>
  <c r="AB15" i="2" l="1"/>
  <c r="X15" i="2"/>
  <c r="T15" i="2"/>
  <c r="P15" i="2"/>
  <c r="L15" i="2"/>
  <c r="H15" i="2"/>
  <c r="D15" i="2"/>
  <c r="AE15" i="2"/>
  <c r="AD15" i="2"/>
  <c r="AC14" i="2"/>
  <c r="AB14" i="2"/>
  <c r="AA15" i="2"/>
  <c r="Z15" i="2"/>
  <c r="Y14" i="2"/>
  <c r="X14" i="2"/>
  <c r="W15" i="2"/>
  <c r="V15" i="2"/>
  <c r="U14" i="2"/>
  <c r="T14" i="2"/>
  <c r="S15" i="2"/>
  <c r="R15" i="2"/>
  <c r="Q14" i="2"/>
  <c r="P14" i="2"/>
  <c r="O15" i="2"/>
  <c r="N15" i="2"/>
  <c r="M14" i="2"/>
  <c r="L14" i="2"/>
  <c r="K15" i="2"/>
  <c r="J15" i="2"/>
  <c r="I14" i="2"/>
  <c r="H14" i="2"/>
  <c r="G15" i="2"/>
  <c r="F15" i="2"/>
  <c r="E14" i="2"/>
  <c r="D14" i="2"/>
  <c r="C15" i="2"/>
  <c r="B15" i="2"/>
  <c r="B14" i="2" l="1"/>
  <c r="J14" i="2"/>
  <c r="R14" i="2"/>
  <c r="Z14" i="2"/>
  <c r="C14" i="2"/>
  <c r="G14" i="2"/>
  <c r="K14" i="2"/>
  <c r="O14" i="2"/>
  <c r="S14" i="2"/>
  <c r="W14" i="2"/>
  <c r="AA14" i="2"/>
  <c r="AE14" i="2"/>
  <c r="E15" i="2"/>
  <c r="I15" i="2"/>
  <c r="M15" i="2"/>
  <c r="Q15" i="2"/>
  <c r="U15" i="2"/>
  <c r="Y15" i="2"/>
  <c r="AC15" i="2"/>
  <c r="F14" i="2"/>
  <c r="N14" i="2"/>
  <c r="V14" i="2"/>
  <c r="AD14" i="2"/>
  <c r="AD15" i="1" l="1"/>
  <c r="Z15" i="1"/>
  <c r="V15" i="1"/>
  <c r="R15" i="1"/>
  <c r="N15" i="1"/>
  <c r="J15" i="1"/>
  <c r="F15" i="1"/>
  <c r="B15" i="1"/>
  <c r="AE15" i="1"/>
  <c r="AD14" i="1"/>
  <c r="AC14" i="1"/>
  <c r="AB14" i="1"/>
  <c r="AA15" i="1"/>
  <c r="Z14" i="1"/>
  <c r="Y14" i="1"/>
  <c r="X15" i="1"/>
  <c r="W15" i="1"/>
  <c r="V14" i="1"/>
  <c r="U14" i="1"/>
  <c r="T14" i="1"/>
  <c r="S15" i="1"/>
  <c r="R14" i="1"/>
  <c r="Q14" i="1"/>
  <c r="P15" i="1"/>
  <c r="O15" i="1"/>
  <c r="N14" i="1"/>
  <c r="M14" i="1"/>
  <c r="L14" i="1"/>
  <c r="K15" i="1"/>
  <c r="J14" i="1"/>
  <c r="I14" i="1"/>
  <c r="H14" i="1"/>
  <c r="G15" i="1"/>
  <c r="F14" i="1"/>
  <c r="E14" i="1"/>
  <c r="D15" i="1"/>
  <c r="C15" i="1"/>
  <c r="B14" i="1"/>
  <c r="D14" i="1" l="1"/>
  <c r="P14" i="1"/>
  <c r="X14" i="1"/>
  <c r="H15" i="1"/>
  <c r="L15" i="1"/>
  <c r="T15" i="1"/>
  <c r="AB15" i="1"/>
  <c r="C14" i="1"/>
  <c r="G14" i="1"/>
  <c r="K14" i="1"/>
  <c r="O14" i="1"/>
  <c r="S14" i="1"/>
  <c r="W14" i="1"/>
  <c r="AA14" i="1"/>
  <c r="AE14" i="1"/>
  <c r="E15" i="1"/>
  <c r="I15" i="1"/>
  <c r="M15" i="1"/>
  <c r="Q15" i="1"/>
  <c r="U15" i="1"/>
  <c r="Y15" i="1"/>
  <c r="AC15" i="1"/>
</calcChain>
</file>

<file path=xl/sharedStrings.xml><?xml version="1.0" encoding="utf-8"?>
<sst xmlns="http://schemas.openxmlformats.org/spreadsheetml/2006/main" count="226" uniqueCount="32">
  <si>
    <t>RMSE</t>
  </si>
  <si>
    <t>R2</t>
  </si>
  <si>
    <t>rvmRadial</t>
  </si>
  <si>
    <t>rvmPoly</t>
  </si>
  <si>
    <t>svmRadial</t>
  </si>
  <si>
    <t>svmPoly</t>
  </si>
  <si>
    <t>gaussprRadial</t>
  </si>
  <si>
    <t>gaussprPoly</t>
  </si>
  <si>
    <t>nnet</t>
  </si>
  <si>
    <t>knn</t>
  </si>
  <si>
    <t>treebag</t>
  </si>
  <si>
    <t>rf</t>
  </si>
  <si>
    <t>cubist</t>
  </si>
  <si>
    <t>pls</t>
  </si>
  <si>
    <t>pcr</t>
  </si>
  <si>
    <t>ens_greedy</t>
  </si>
  <si>
    <t>ens_linear</t>
  </si>
  <si>
    <t>AVG</t>
  </si>
  <si>
    <t>MED</t>
  </si>
  <si>
    <t>MEDIAN</t>
  </si>
  <si>
    <t>Average</t>
  </si>
  <si>
    <t>Median</t>
  </si>
  <si>
    <t>High</t>
  </si>
  <si>
    <t>Low</t>
  </si>
  <si>
    <t>StDevP</t>
  </si>
  <si>
    <t>StdevS</t>
  </si>
  <si>
    <t>Av over folds</t>
  </si>
  <si>
    <t>SDP over folds</t>
  </si>
  <si>
    <t>SDS over folds</t>
  </si>
  <si>
    <t>Av over repetitions</t>
  </si>
  <si>
    <t>SDP of av over reps</t>
  </si>
  <si>
    <t>SDS of av over reps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</si>
</sst>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3" xfId="0" applyBorder="1"/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0" borderId="0" xfId="0" applyFill="1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0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"/>
  <sheetViews>
    <sheetView zoomScale="90" zoomScaleNormal="90" workbookViewId="0">
      <selection activeCell="B3" sqref="B3:AE12"/>
    </sheetView>
  </sheetViews>
  <sheetFormatPr defaultRowHeight="15" x14ac:dyDescent="0.25"/>
  <sheetData>
    <row r="1" spans="1:31" x14ac:dyDescent="0.25">
      <c r="B1" s="26" t="s">
        <v>0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8"/>
      <c r="Q1" s="27" t="s">
        <v>1</v>
      </c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8"/>
    </row>
    <row r="2" spans="1:31" x14ac:dyDescent="0.25"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3" t="s">
        <v>16</v>
      </c>
      <c r="Q2" s="2" t="s">
        <v>2</v>
      </c>
      <c r="R2" s="2" t="s">
        <v>3</v>
      </c>
      <c r="S2" s="2" t="s">
        <v>4</v>
      </c>
      <c r="T2" s="2" t="s">
        <v>5</v>
      </c>
      <c r="U2" s="2" t="s">
        <v>6</v>
      </c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12</v>
      </c>
      <c r="AB2" s="2" t="s">
        <v>13</v>
      </c>
      <c r="AC2" s="2" t="s">
        <v>14</v>
      </c>
      <c r="AD2" s="2" t="s">
        <v>15</v>
      </c>
      <c r="AE2" s="3" t="s">
        <v>16</v>
      </c>
    </row>
    <row r="3" spans="1:31" x14ac:dyDescent="0.25">
      <c r="A3">
        <v>1</v>
      </c>
      <c r="B3" s="4">
        <v>0.6718308801246039</v>
      </c>
      <c r="C3" s="5">
        <v>0.67802811075291469</v>
      </c>
      <c r="D3" s="5">
        <v>0.86692734206761346</v>
      </c>
      <c r="E3" s="5">
        <v>0.82015765801511209</v>
      </c>
      <c r="F3" s="5">
        <v>1.0228609515084395</v>
      </c>
      <c r="G3" s="5">
        <v>0.87570572795003476</v>
      </c>
      <c r="H3" s="5">
        <v>0.77424315364522278</v>
      </c>
      <c r="I3" s="5">
        <v>0.7670423712684219</v>
      </c>
      <c r="J3" s="5">
        <v>0.91512882670588169</v>
      </c>
      <c r="K3" s="5">
        <v>0.86464788940098813</v>
      </c>
      <c r="L3" s="5">
        <v>0.74049650955845159</v>
      </c>
      <c r="M3" s="5">
        <v>0.8595505445684487</v>
      </c>
      <c r="N3" s="5">
        <v>0.88404016250356721</v>
      </c>
      <c r="O3" s="5">
        <v>0.69761533421548538</v>
      </c>
      <c r="P3" s="5">
        <v>0.60864860106845176</v>
      </c>
      <c r="Q3" s="4">
        <v>0.83256752207824225</v>
      </c>
      <c r="R3" s="5">
        <v>0.8019783121838181</v>
      </c>
      <c r="S3" s="5">
        <v>0.71932538901041643</v>
      </c>
      <c r="T3" s="5">
        <v>0.75176504660163324</v>
      </c>
      <c r="U3" s="5">
        <v>0.70748901576328249</v>
      </c>
      <c r="V3" s="5">
        <v>0.74609152501829878</v>
      </c>
      <c r="W3" s="5">
        <v>0.77776739808334838</v>
      </c>
      <c r="X3" s="5">
        <v>0.83286860654358785</v>
      </c>
      <c r="Y3" s="5">
        <v>0.71269117273044968</v>
      </c>
      <c r="Z3" s="5">
        <v>0.7685437626948759</v>
      </c>
      <c r="AA3" s="5">
        <v>0.76744405140653837</v>
      </c>
      <c r="AB3" s="5">
        <v>0.70582424000253963</v>
      </c>
      <c r="AC3" s="5">
        <v>0.68290621232616677</v>
      </c>
      <c r="AD3" s="5">
        <v>0.81188051596981381</v>
      </c>
      <c r="AE3" s="6">
        <v>0.85023371606132558</v>
      </c>
    </row>
    <row r="4" spans="1:31" x14ac:dyDescent="0.25">
      <c r="A4">
        <v>2</v>
      </c>
      <c r="B4" s="1">
        <v>1.2640447244557844</v>
      </c>
      <c r="C4" s="2">
        <v>1.1980970136624649</v>
      </c>
      <c r="D4" s="2">
        <v>0.95393463134352141</v>
      </c>
      <c r="E4" s="2">
        <v>1.1607483484044177</v>
      </c>
      <c r="F4" s="2">
        <v>1.1975136944739573</v>
      </c>
      <c r="G4" s="2">
        <v>1.2585423331893395</v>
      </c>
      <c r="H4" s="2">
        <v>1.255367362312124</v>
      </c>
      <c r="I4" s="2">
        <v>1.037783781843429</v>
      </c>
      <c r="J4" s="2">
        <v>1.2251361471532121</v>
      </c>
      <c r="K4" s="2">
        <v>1.1799886997758355</v>
      </c>
      <c r="L4" s="2">
        <v>1.0282092745105442</v>
      </c>
      <c r="M4" s="2">
        <v>1.1217808827990874</v>
      </c>
      <c r="N4" s="2">
        <v>1.1235989413631982</v>
      </c>
      <c r="O4" s="2">
        <v>1.0662890600877184</v>
      </c>
      <c r="P4" s="2">
        <v>1.0105345310240101</v>
      </c>
      <c r="Q4" s="1">
        <v>0.31972696022901126</v>
      </c>
      <c r="R4" s="2">
        <v>0.38841442162740808</v>
      </c>
      <c r="S4" s="2">
        <v>0.71351779250113467</v>
      </c>
      <c r="T4" s="2">
        <v>0.41419645710782788</v>
      </c>
      <c r="U4" s="2">
        <v>0.53735103421797292</v>
      </c>
      <c r="V4" s="2">
        <v>0.44118168271665603</v>
      </c>
      <c r="W4" s="2">
        <v>0.37435333263916448</v>
      </c>
      <c r="X4" s="2">
        <v>0.68163036062975357</v>
      </c>
      <c r="Y4" s="2">
        <v>0.34989050034049934</v>
      </c>
      <c r="Z4" s="2">
        <v>0.41653816149919237</v>
      </c>
      <c r="AA4" s="2">
        <v>0.60824521987315927</v>
      </c>
      <c r="AB4" s="2">
        <v>0.45092940783779983</v>
      </c>
      <c r="AC4" s="2">
        <v>0.45902004386747469</v>
      </c>
      <c r="AD4" s="2">
        <v>0.51256585497430818</v>
      </c>
      <c r="AE4" s="3">
        <v>0.55645329001482413</v>
      </c>
    </row>
    <row r="5" spans="1:31" x14ac:dyDescent="0.25">
      <c r="A5">
        <v>3</v>
      </c>
      <c r="B5" s="1">
        <v>1.015185634988536</v>
      </c>
      <c r="C5" s="2">
        <v>0.85889019168481873</v>
      </c>
      <c r="D5" s="2">
        <v>0.97108402152737006</v>
      </c>
      <c r="E5" s="2">
        <v>0.64947671716715982</v>
      </c>
      <c r="F5" s="2">
        <v>1.018889225653415</v>
      </c>
      <c r="G5" s="2">
        <v>0.799293645746187</v>
      </c>
      <c r="H5" s="2">
        <v>0.91828197636288356</v>
      </c>
      <c r="I5" s="2">
        <v>1.0872868132921862</v>
      </c>
      <c r="J5" s="2">
        <v>0.92876039993816917</v>
      </c>
      <c r="K5" s="2">
        <v>0.82582633276415462</v>
      </c>
      <c r="L5" s="2">
        <v>0.94359829525904138</v>
      </c>
      <c r="M5" s="2">
        <v>0.84499938736026958</v>
      </c>
      <c r="N5" s="2">
        <v>0.8540575595340345</v>
      </c>
      <c r="O5" s="2">
        <v>0.77140649011145679</v>
      </c>
      <c r="P5" s="2">
        <v>0.76976632570545522</v>
      </c>
      <c r="Q5" s="1">
        <v>0.51024094753916804</v>
      </c>
      <c r="R5" s="2">
        <v>0.65857257948116266</v>
      </c>
      <c r="S5" s="2">
        <v>0.68235234509629805</v>
      </c>
      <c r="T5" s="2">
        <v>0.76565483607008999</v>
      </c>
      <c r="U5" s="2">
        <v>0.63786945572858667</v>
      </c>
      <c r="V5" s="2">
        <v>0.78598909599081224</v>
      </c>
      <c r="W5" s="2">
        <v>0.63030192336795021</v>
      </c>
      <c r="X5" s="2">
        <v>0.42729488740257743</v>
      </c>
      <c r="Y5" s="2">
        <v>0.59597590656004495</v>
      </c>
      <c r="Z5" s="2">
        <v>0.74790187481546089</v>
      </c>
      <c r="AA5" s="2">
        <v>0.59448454123690053</v>
      </c>
      <c r="AB5" s="2">
        <v>0.59367666739278224</v>
      </c>
      <c r="AC5" s="2">
        <v>0.5831435931624106</v>
      </c>
      <c r="AD5" s="2">
        <v>0.70137444688179562</v>
      </c>
      <c r="AE5" s="3">
        <v>0.6878456094007328</v>
      </c>
    </row>
    <row r="6" spans="1:31" x14ac:dyDescent="0.25">
      <c r="A6">
        <v>4</v>
      </c>
      <c r="B6" s="1">
        <v>0.59543381205092816</v>
      </c>
      <c r="C6" s="2">
        <v>0.59710299659320343</v>
      </c>
      <c r="D6" s="2">
        <v>0.80610018528251193</v>
      </c>
      <c r="E6" s="2">
        <v>0.7326990113452112</v>
      </c>
      <c r="F6" s="2">
        <v>0.86352174543440618</v>
      </c>
      <c r="G6" s="2">
        <v>0.78027654448625894</v>
      </c>
      <c r="H6" s="2">
        <v>1.2536187593790227</v>
      </c>
      <c r="I6" s="2">
        <v>0.7262654430547989</v>
      </c>
      <c r="J6" s="2">
        <v>0.79450073459537041</v>
      </c>
      <c r="K6" s="2">
        <v>0.886974241529219</v>
      </c>
      <c r="L6" s="2">
        <v>0.7141171615869486</v>
      </c>
      <c r="M6" s="2">
        <v>0.77784248299377212</v>
      </c>
      <c r="N6" s="2">
        <v>0.74076627638862347</v>
      </c>
      <c r="O6" s="2">
        <v>0.6660386222590623</v>
      </c>
      <c r="P6" s="2">
        <v>0.56012098148487821</v>
      </c>
      <c r="Q6" s="1">
        <v>0.73163373029812107</v>
      </c>
      <c r="R6" s="2">
        <v>0.7504946575968201</v>
      </c>
      <c r="S6" s="2">
        <v>0.70972917222529575</v>
      </c>
      <c r="T6" s="2">
        <v>0.67669982298381559</v>
      </c>
      <c r="U6" s="2">
        <v>0.6837865272790502</v>
      </c>
      <c r="V6" s="2">
        <v>0.73777070429027447</v>
      </c>
      <c r="W6" s="2">
        <v>0.10126181505803211</v>
      </c>
      <c r="X6" s="2">
        <v>0.59008388674680701</v>
      </c>
      <c r="Y6" s="2">
        <v>0.64936520584984958</v>
      </c>
      <c r="Z6" s="2">
        <v>0.51316832593499662</v>
      </c>
      <c r="AA6" s="2">
        <v>0.70804558448879951</v>
      </c>
      <c r="AB6" s="2">
        <v>0.65774529915185653</v>
      </c>
      <c r="AC6" s="2">
        <v>0.67432807197665068</v>
      </c>
      <c r="AD6" s="2">
        <v>0.7116427191401018</v>
      </c>
      <c r="AE6" s="3">
        <v>0.80927278484334986</v>
      </c>
    </row>
    <row r="7" spans="1:31" x14ac:dyDescent="0.25">
      <c r="A7">
        <v>5</v>
      </c>
      <c r="B7" s="1">
        <v>0.90838191109141053</v>
      </c>
      <c r="C7" s="2">
        <v>0.83796286384511076</v>
      </c>
      <c r="D7" s="2">
        <v>0.77630412769572243</v>
      </c>
      <c r="E7" s="2">
        <v>0.81127303617339586</v>
      </c>
      <c r="F7" s="2">
        <v>0.95470595018815418</v>
      </c>
      <c r="G7" s="2">
        <v>0.84418889764781513</v>
      </c>
      <c r="H7" s="2">
        <v>1.0461024936096923</v>
      </c>
      <c r="I7" s="2">
        <v>0.93347781696299548</v>
      </c>
      <c r="J7" s="2">
        <v>1.0663296664753823</v>
      </c>
      <c r="K7" s="2">
        <v>1.1543458604871923</v>
      </c>
      <c r="L7" s="2">
        <v>0.65329258712948313</v>
      </c>
      <c r="M7" s="2">
        <v>0.76989883172747675</v>
      </c>
      <c r="N7" s="2">
        <v>0.79907263816162755</v>
      </c>
      <c r="O7" s="2">
        <v>0.80934090550392701</v>
      </c>
      <c r="P7" s="2">
        <v>0.95502411109768159</v>
      </c>
      <c r="Q7" s="1">
        <v>0.52495133727181154</v>
      </c>
      <c r="R7" s="2">
        <v>0.60452690751733562</v>
      </c>
      <c r="S7" s="2">
        <v>0.63252799572803331</v>
      </c>
      <c r="T7" s="2">
        <v>0.64123879902021075</v>
      </c>
      <c r="U7" s="2">
        <v>0.60101221056598331</v>
      </c>
      <c r="V7" s="2">
        <v>0.55892663294269329</v>
      </c>
      <c r="W7" s="2">
        <v>0.36856724719951445</v>
      </c>
      <c r="X7" s="2">
        <v>0.45654768234422172</v>
      </c>
      <c r="Y7" s="2">
        <v>0.26151317148933706</v>
      </c>
      <c r="Z7" s="2">
        <v>0.19893905009176338</v>
      </c>
      <c r="AA7" s="2">
        <v>0.70794045540068495</v>
      </c>
      <c r="AB7" s="2">
        <v>0.65743264167774196</v>
      </c>
      <c r="AC7" s="2">
        <v>0.64601808270572514</v>
      </c>
      <c r="AD7" s="2">
        <v>0.63057997505161822</v>
      </c>
      <c r="AE7" s="3">
        <v>0.45506582038463511</v>
      </c>
    </row>
    <row r="8" spans="1:31" x14ac:dyDescent="0.25">
      <c r="A8">
        <v>6</v>
      </c>
      <c r="B8" s="1">
        <v>1.277699946938784</v>
      </c>
      <c r="C8" s="2">
        <v>1.3078632087807016</v>
      </c>
      <c r="D8" s="2">
        <v>0.77447928520474307</v>
      </c>
      <c r="E8" s="2">
        <v>1.2617448817735502</v>
      </c>
      <c r="F8" s="2">
        <v>0.80057655118868332</v>
      </c>
      <c r="G8" s="2">
        <v>1.1616236548081094</v>
      </c>
      <c r="H8" s="2">
        <v>1.4880093193588091</v>
      </c>
      <c r="I8" s="2">
        <v>1.1513447210399961</v>
      </c>
      <c r="J8" s="2">
        <v>0.98927184840168347</v>
      </c>
      <c r="K8" s="2">
        <v>1.2398830050015137</v>
      </c>
      <c r="L8" s="2">
        <v>1.3016543937338618</v>
      </c>
      <c r="M8" s="2">
        <v>1.1196696885896007</v>
      </c>
      <c r="N8" s="2">
        <v>1.1105953279698686</v>
      </c>
      <c r="O8" s="2">
        <v>0.68856116091491826</v>
      </c>
      <c r="P8" s="2">
        <v>1.0642171295997744</v>
      </c>
      <c r="Q8" s="1">
        <v>0.29737196994235293</v>
      </c>
      <c r="R8" s="2">
        <v>0.17749553738347421</v>
      </c>
      <c r="S8" s="2">
        <v>0.43749391510441576</v>
      </c>
      <c r="T8" s="2">
        <v>7.3329023853324404E-2</v>
      </c>
      <c r="U8" s="2">
        <v>0.31391503891667277</v>
      </c>
      <c r="V8" s="2">
        <v>5.9229902834462937E-2</v>
      </c>
      <c r="W8" s="2">
        <v>8.9783523108522473E-2</v>
      </c>
      <c r="X8" s="2">
        <v>6.6404093282614651E-2</v>
      </c>
      <c r="Y8" s="2">
        <v>0.1125211008034652</v>
      </c>
      <c r="Z8" s="2">
        <v>4.22433072538052E-2</v>
      </c>
      <c r="AA8" s="2">
        <v>4.838801135659164E-2</v>
      </c>
      <c r="AB8" s="2">
        <v>7.3962141209760662E-2</v>
      </c>
      <c r="AC8" s="2">
        <v>6.7480488422412457E-2</v>
      </c>
      <c r="AD8" s="2">
        <v>0.38088718705562741</v>
      </c>
      <c r="AE8" s="3">
        <v>0.1204819346347952</v>
      </c>
    </row>
    <row r="9" spans="1:31" x14ac:dyDescent="0.25">
      <c r="A9">
        <v>7</v>
      </c>
      <c r="B9" s="1">
        <v>0.70925408459316153</v>
      </c>
      <c r="C9" s="2">
        <v>0.59434097248675355</v>
      </c>
      <c r="D9" s="2">
        <v>0.75011504563638998</v>
      </c>
      <c r="E9" s="2">
        <v>0.61058186236258816</v>
      </c>
      <c r="F9" s="2">
        <v>0.76673414428606435</v>
      </c>
      <c r="G9" s="2">
        <v>0.80046278202841303</v>
      </c>
      <c r="H9" s="2">
        <v>0.8825098800603689</v>
      </c>
      <c r="I9" s="2">
        <v>0.91892237611962269</v>
      </c>
      <c r="J9" s="2">
        <v>0.9236361528437933</v>
      </c>
      <c r="K9" s="2">
        <v>0.85631027904560764</v>
      </c>
      <c r="L9" s="2">
        <v>0.67222627310725269</v>
      </c>
      <c r="M9" s="2">
        <v>0.57321990734650297</v>
      </c>
      <c r="N9" s="2">
        <v>0.69696933153230156</v>
      </c>
      <c r="O9" s="2">
        <v>0.69624119129538486</v>
      </c>
      <c r="P9" s="2">
        <v>0.90531157079455249</v>
      </c>
      <c r="Q9" s="1">
        <v>0.76266561854221837</v>
      </c>
      <c r="R9" s="2">
        <v>0.83520426183773644</v>
      </c>
      <c r="S9" s="2">
        <v>0.69330130738683438</v>
      </c>
      <c r="T9" s="2">
        <v>0.79026854605033914</v>
      </c>
      <c r="U9" s="2">
        <v>0.83861415618824586</v>
      </c>
      <c r="V9" s="2">
        <v>0.66419734298800326</v>
      </c>
      <c r="W9" s="2">
        <v>0.58744800241528861</v>
      </c>
      <c r="X9" s="2">
        <v>0.55785459802405923</v>
      </c>
      <c r="Y9" s="2">
        <v>0.50579768215170595</v>
      </c>
      <c r="Z9" s="2">
        <v>0.6197252452765859</v>
      </c>
      <c r="AA9" s="2">
        <v>0.77640152305958687</v>
      </c>
      <c r="AB9" s="2">
        <v>0.80962627411709254</v>
      </c>
      <c r="AC9" s="2">
        <v>0.71882874624721305</v>
      </c>
      <c r="AD9" s="2">
        <v>0.77076409526195588</v>
      </c>
      <c r="AE9" s="3">
        <v>0.55481081129873089</v>
      </c>
    </row>
    <row r="10" spans="1:31" x14ac:dyDescent="0.25">
      <c r="A10">
        <v>8</v>
      </c>
      <c r="B10" s="1">
        <v>0.80636228531749998</v>
      </c>
      <c r="C10" s="2">
        <v>0.74326006905979358</v>
      </c>
      <c r="D10" s="2">
        <v>0.52276947363632476</v>
      </c>
      <c r="E10" s="2">
        <v>0.61968934067786674</v>
      </c>
      <c r="F10" s="2">
        <v>0.72618012485767436</v>
      </c>
      <c r="G10" s="2">
        <v>0.54517832069876282</v>
      </c>
      <c r="H10" s="2">
        <v>0.69979968639455892</v>
      </c>
      <c r="I10" s="2">
        <v>0.61282219654976344</v>
      </c>
      <c r="J10" s="2">
        <v>0.78130393212633775</v>
      </c>
      <c r="K10" s="2">
        <v>0.73361065339734322</v>
      </c>
      <c r="L10" s="2">
        <v>0.79819422247831961</v>
      </c>
      <c r="M10" s="2">
        <v>0.71427098926624788</v>
      </c>
      <c r="N10" s="2">
        <v>0.71681628360807514</v>
      </c>
      <c r="O10" s="2">
        <v>0.55939336625174729</v>
      </c>
      <c r="P10" s="2">
        <v>0.45872237389045267</v>
      </c>
      <c r="Q10" s="1">
        <v>0.38490553846599473</v>
      </c>
      <c r="R10" s="2">
        <v>0.3719296659224674</v>
      </c>
      <c r="S10" s="2">
        <v>0.65837378742144093</v>
      </c>
      <c r="T10" s="2">
        <v>0.51834094025444233</v>
      </c>
      <c r="U10" s="2">
        <v>0.42780566567119899</v>
      </c>
      <c r="V10" s="2">
        <v>0.62804531815406783</v>
      </c>
      <c r="W10" s="2">
        <v>0.53766912510928244</v>
      </c>
      <c r="X10" s="2">
        <v>0.55730765645652758</v>
      </c>
      <c r="Y10" s="2">
        <v>0.33169104620069406</v>
      </c>
      <c r="Z10" s="2">
        <v>0.37929659924473286</v>
      </c>
      <c r="AA10" s="2">
        <v>0.37390297837051434</v>
      </c>
      <c r="AB10" s="2">
        <v>0.4185876751076093</v>
      </c>
      <c r="AC10" s="2">
        <v>0.45798868461014236</v>
      </c>
      <c r="AD10" s="2">
        <v>0.60444202980669126</v>
      </c>
      <c r="AE10" s="3">
        <v>0.74147826665250138</v>
      </c>
    </row>
    <row r="11" spans="1:31" x14ac:dyDescent="0.25">
      <c r="A11">
        <v>9</v>
      </c>
      <c r="B11" s="1">
        <v>1.0181374915659984</v>
      </c>
      <c r="C11" s="2">
        <v>0.88366639042311479</v>
      </c>
      <c r="D11" s="2">
        <v>0.39123929672388486</v>
      </c>
      <c r="E11" s="2">
        <v>0.74537141636697901</v>
      </c>
      <c r="F11" s="2">
        <v>0.40392584371267953</v>
      </c>
      <c r="G11" s="2">
        <v>0.64805639504161461</v>
      </c>
      <c r="H11" s="2">
        <v>0.74901530544336459</v>
      </c>
      <c r="I11" s="2">
        <v>0.60907799172191412</v>
      </c>
      <c r="J11" s="2">
        <v>0.54063135390323969</v>
      </c>
      <c r="K11" s="2">
        <v>0.49821366574793985</v>
      </c>
      <c r="L11" s="2">
        <v>0.50892729453454355</v>
      </c>
      <c r="M11" s="2">
        <v>0.58615649528432245</v>
      </c>
      <c r="N11" s="2">
        <v>0.52259808949349384</v>
      </c>
      <c r="O11" s="2">
        <v>0.56425378439751439</v>
      </c>
      <c r="P11" s="2">
        <v>0.54666170110468382</v>
      </c>
      <c r="Q11" s="1">
        <v>0.54163360007556549</v>
      </c>
      <c r="R11" s="2">
        <v>0.75833297909512787</v>
      </c>
      <c r="S11" s="2">
        <v>0.75580897855909102</v>
      </c>
      <c r="T11" s="2">
        <v>0.71372679404614037</v>
      </c>
      <c r="U11" s="2">
        <v>0.71976074306203375</v>
      </c>
      <c r="V11" s="2">
        <v>0.71201455767168931</v>
      </c>
      <c r="W11" s="2">
        <v>0.59590971614787225</v>
      </c>
      <c r="X11" s="2">
        <v>0.57927799076050412</v>
      </c>
      <c r="Y11" s="2">
        <v>0.48739236412826087</v>
      </c>
      <c r="Z11" s="2">
        <v>0.67055988888165852</v>
      </c>
      <c r="AA11" s="2">
        <v>0.76993204580810926</v>
      </c>
      <c r="AB11" s="2">
        <v>0.73268549812608319</v>
      </c>
      <c r="AC11" s="2">
        <v>0.73368988584275951</v>
      </c>
      <c r="AD11" s="2">
        <v>0.82343246087110489</v>
      </c>
      <c r="AE11" s="3">
        <v>0.78992927885447273</v>
      </c>
    </row>
    <row r="12" spans="1:31" x14ac:dyDescent="0.25">
      <c r="A12">
        <v>10</v>
      </c>
      <c r="B12" s="7">
        <v>0.82025140982841371</v>
      </c>
      <c r="C12" s="8">
        <v>0.61011409745575451</v>
      </c>
      <c r="D12" s="8">
        <v>0.70683514853677154</v>
      </c>
      <c r="E12" s="8">
        <v>0.60874679382639596</v>
      </c>
      <c r="F12" s="8">
        <v>0.75296183728105814</v>
      </c>
      <c r="G12" s="8">
        <v>0.62809487981375067</v>
      </c>
      <c r="H12" s="8">
        <v>0.90697536504113496</v>
      </c>
      <c r="I12" s="8">
        <v>0.86048710386966309</v>
      </c>
      <c r="J12" s="8">
        <v>0.72901659583241563</v>
      </c>
      <c r="K12" s="8">
        <v>0.80332952422402604</v>
      </c>
      <c r="L12" s="8">
        <v>0.4524835350019194</v>
      </c>
      <c r="M12" s="8">
        <v>0.52697983764363954</v>
      </c>
      <c r="N12" s="8">
        <v>0.4846955655167306</v>
      </c>
      <c r="O12" s="8">
        <v>0.5056201136678603</v>
      </c>
      <c r="P12" s="8">
        <v>0.5036770295585421</v>
      </c>
      <c r="Q12" s="7">
        <v>0.71553968365714893</v>
      </c>
      <c r="R12" s="8">
        <v>0.7915424618945649</v>
      </c>
      <c r="S12" s="8">
        <v>0.74722518872672405</v>
      </c>
      <c r="T12" s="8">
        <v>0.80366298719483198</v>
      </c>
      <c r="U12" s="8">
        <v>0.814386898189148</v>
      </c>
      <c r="V12" s="8">
        <v>0.82744857539048089</v>
      </c>
      <c r="W12" s="8">
        <v>0.7740949471262073</v>
      </c>
      <c r="X12" s="8">
        <v>0.57973620282850058</v>
      </c>
      <c r="Y12" s="8">
        <v>0.75141217549189743</v>
      </c>
      <c r="Z12" s="8">
        <v>0.6809759912105563</v>
      </c>
      <c r="AA12" s="8">
        <v>0.87707127089028813</v>
      </c>
      <c r="AB12" s="8">
        <v>0.83839878702315518</v>
      </c>
      <c r="AC12" s="8">
        <v>0.85913957675824371</v>
      </c>
      <c r="AD12" s="8">
        <v>0.85724969728672196</v>
      </c>
      <c r="AE12" s="9">
        <v>0.87541409375741253</v>
      </c>
    </row>
    <row r="14" spans="1:31" x14ac:dyDescent="0.25">
      <c r="A14" t="s">
        <v>17</v>
      </c>
      <c r="B14">
        <f t="shared" ref="B14:AE14" si="0">AVERAGE(B3:B12)</f>
        <v>0.90865821809551195</v>
      </c>
      <c r="C14">
        <f t="shared" si="0"/>
        <v>0.83093259147446297</v>
      </c>
      <c r="D14">
        <f t="shared" si="0"/>
        <v>0.75197885576548529</v>
      </c>
      <c r="E14">
        <f t="shared" si="0"/>
        <v>0.80204890661126771</v>
      </c>
      <c r="F14">
        <f t="shared" si="0"/>
        <v>0.85078700685845321</v>
      </c>
      <c r="G14">
        <f t="shared" si="0"/>
        <v>0.83414231814102868</v>
      </c>
      <c r="H14">
        <f t="shared" si="0"/>
        <v>0.99739233016071815</v>
      </c>
      <c r="I14">
        <f t="shared" si="0"/>
        <v>0.87045106157227914</v>
      </c>
      <c r="J14">
        <f t="shared" si="0"/>
        <v>0.88937156579754872</v>
      </c>
      <c r="K14">
        <f t="shared" si="0"/>
        <v>0.90431301513738183</v>
      </c>
      <c r="L14">
        <f t="shared" si="0"/>
        <v>0.78131995469003646</v>
      </c>
      <c r="M14">
        <f t="shared" si="0"/>
        <v>0.78943690475793682</v>
      </c>
      <c r="N14">
        <f t="shared" si="0"/>
        <v>0.79332101760715212</v>
      </c>
      <c r="O14">
        <f t="shared" si="0"/>
        <v>0.70247600287050738</v>
      </c>
      <c r="P14">
        <f t="shared" si="0"/>
        <v>0.73826843553284827</v>
      </c>
      <c r="Q14">
        <f t="shared" si="0"/>
        <v>0.56212369080996349</v>
      </c>
      <c r="R14">
        <f t="shared" si="0"/>
        <v>0.61384917845399145</v>
      </c>
      <c r="S14">
        <f t="shared" si="0"/>
        <v>0.67496558717596844</v>
      </c>
      <c r="T14">
        <f t="shared" si="0"/>
        <v>0.61488832531826554</v>
      </c>
      <c r="U14">
        <f t="shared" si="0"/>
        <v>0.62819907455821755</v>
      </c>
      <c r="V14">
        <f t="shared" si="0"/>
        <v>0.61608953379974385</v>
      </c>
      <c r="W14">
        <f t="shared" si="0"/>
        <v>0.48371570302551825</v>
      </c>
      <c r="X14">
        <f t="shared" si="0"/>
        <v>0.53290059650191535</v>
      </c>
      <c r="Y14">
        <f t="shared" si="0"/>
        <v>0.47582503257462044</v>
      </c>
      <c r="Z14">
        <f t="shared" si="0"/>
        <v>0.5037892206903628</v>
      </c>
      <c r="AA14">
        <f t="shared" si="0"/>
        <v>0.6231855681891173</v>
      </c>
      <c r="AB14">
        <f t="shared" si="0"/>
        <v>0.59388686316464212</v>
      </c>
      <c r="AC14">
        <f t="shared" si="0"/>
        <v>0.58825433859191989</v>
      </c>
      <c r="AD14">
        <f t="shared" si="0"/>
        <v>0.68048189822997396</v>
      </c>
      <c r="AE14">
        <f t="shared" si="0"/>
        <v>0.64409856059027804</v>
      </c>
    </row>
    <row r="15" spans="1:31" x14ac:dyDescent="0.25">
      <c r="A15" t="s">
        <v>18</v>
      </c>
      <c r="B15">
        <f t="shared" ref="B15:AE15" si="1">MEDIAN(B3:B12)</f>
        <v>0.86431666045991218</v>
      </c>
      <c r="C15">
        <f t="shared" si="1"/>
        <v>0.79061146645245217</v>
      </c>
      <c r="D15">
        <f t="shared" si="1"/>
        <v>0.7753917064502327</v>
      </c>
      <c r="E15">
        <f t="shared" si="1"/>
        <v>0.73903521385609516</v>
      </c>
      <c r="F15">
        <f t="shared" si="1"/>
        <v>0.83204914831154475</v>
      </c>
      <c r="G15">
        <f t="shared" si="1"/>
        <v>0.79987821388729996</v>
      </c>
      <c r="H15">
        <f t="shared" si="1"/>
        <v>0.91262867070200926</v>
      </c>
      <c r="I15">
        <f t="shared" si="1"/>
        <v>0.88970473999464295</v>
      </c>
      <c r="J15">
        <f t="shared" si="1"/>
        <v>0.9193824897748375</v>
      </c>
      <c r="K15">
        <f t="shared" si="1"/>
        <v>0.86047908422329789</v>
      </c>
      <c r="L15">
        <f t="shared" si="1"/>
        <v>0.72730683557270015</v>
      </c>
      <c r="M15">
        <f t="shared" si="1"/>
        <v>0.77387065736062444</v>
      </c>
      <c r="N15">
        <f t="shared" si="1"/>
        <v>0.76991945727512556</v>
      </c>
      <c r="O15">
        <f t="shared" si="1"/>
        <v>0.69240117610515162</v>
      </c>
      <c r="P15">
        <f t="shared" si="1"/>
        <v>0.68920746338695349</v>
      </c>
      <c r="Q15">
        <f t="shared" si="1"/>
        <v>0.53329246867368851</v>
      </c>
      <c r="R15">
        <f t="shared" si="1"/>
        <v>0.70453361853899144</v>
      </c>
      <c r="S15">
        <f t="shared" si="1"/>
        <v>0.70151523980606512</v>
      </c>
      <c r="T15">
        <f t="shared" si="1"/>
        <v>0.69521330851497798</v>
      </c>
      <c r="U15">
        <f t="shared" si="1"/>
        <v>0.66082799150381843</v>
      </c>
      <c r="V15">
        <f t="shared" si="1"/>
        <v>0.68810595032984634</v>
      </c>
      <c r="W15">
        <f t="shared" si="1"/>
        <v>0.56255856376228552</v>
      </c>
      <c r="X15">
        <f t="shared" si="1"/>
        <v>0.56856629439228168</v>
      </c>
      <c r="Y15">
        <f t="shared" si="1"/>
        <v>0.49659502313998338</v>
      </c>
      <c r="Z15">
        <f t="shared" si="1"/>
        <v>0.56644678560579131</v>
      </c>
      <c r="AA15">
        <f t="shared" si="1"/>
        <v>0.70799301994474217</v>
      </c>
      <c r="AB15">
        <f t="shared" si="1"/>
        <v>0.65758897041479925</v>
      </c>
      <c r="AC15">
        <f t="shared" si="1"/>
        <v>0.66017307734118791</v>
      </c>
      <c r="AD15">
        <f t="shared" si="1"/>
        <v>0.70650858301094877</v>
      </c>
      <c r="AE15">
        <f t="shared" si="1"/>
        <v>0.71466193802661704</v>
      </c>
    </row>
  </sheetData>
  <mergeCells count="2">
    <mergeCell ref="B1:P1"/>
    <mergeCell ref="Q1:A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"/>
  <sheetViews>
    <sheetView zoomScale="90" zoomScaleNormal="90" workbookViewId="0">
      <selection activeCell="L27" sqref="L27"/>
    </sheetView>
  </sheetViews>
  <sheetFormatPr defaultRowHeight="15" x14ac:dyDescent="0.25"/>
  <sheetData>
    <row r="1" spans="1:31" x14ac:dyDescent="0.25">
      <c r="A1" s="10"/>
      <c r="B1" s="29" t="s">
        <v>0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  <c r="Q1" s="31" t="s">
        <v>1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30"/>
    </row>
    <row r="2" spans="1:31" x14ac:dyDescent="0.25">
      <c r="A2" s="11"/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3" t="s">
        <v>16</v>
      </c>
      <c r="Q2" s="7" t="s">
        <v>2</v>
      </c>
      <c r="R2" s="8" t="s">
        <v>3</v>
      </c>
      <c r="S2" s="8" t="s">
        <v>4</v>
      </c>
      <c r="T2" s="8" t="s">
        <v>5</v>
      </c>
      <c r="U2" s="8" t="s">
        <v>6</v>
      </c>
      <c r="V2" s="8" t="s">
        <v>7</v>
      </c>
      <c r="W2" s="8" t="s">
        <v>8</v>
      </c>
      <c r="X2" s="8" t="s">
        <v>9</v>
      </c>
      <c r="Y2" s="8" t="s">
        <v>10</v>
      </c>
      <c r="Z2" s="8" t="s">
        <v>11</v>
      </c>
      <c r="AA2" s="8" t="s">
        <v>12</v>
      </c>
      <c r="AB2" s="8" t="s">
        <v>13</v>
      </c>
      <c r="AC2" s="8" t="s">
        <v>14</v>
      </c>
      <c r="AD2" s="8" t="s">
        <v>15</v>
      </c>
      <c r="AE2" s="9" t="s">
        <v>16</v>
      </c>
    </row>
    <row r="3" spans="1:31" x14ac:dyDescent="0.25">
      <c r="A3" s="11">
        <v>1</v>
      </c>
      <c r="B3">
        <v>1.0110117263239746</v>
      </c>
      <c r="C3">
        <v>1.1050954209152031</v>
      </c>
      <c r="D3">
        <v>1.2437335535801404</v>
      </c>
      <c r="E3">
        <v>1.2678095733577017</v>
      </c>
      <c r="F3">
        <v>1.1920326308141345</v>
      </c>
      <c r="G3">
        <v>1.2107111032521343</v>
      </c>
      <c r="H3">
        <v>1.2476421130329869</v>
      </c>
      <c r="I3">
        <v>1.2590636732641178</v>
      </c>
      <c r="J3">
        <v>1.5273002771579496</v>
      </c>
      <c r="K3">
        <v>1.3808646034914744</v>
      </c>
      <c r="L3">
        <v>1.1694682137091201</v>
      </c>
      <c r="M3">
        <v>1.2243440738409008</v>
      </c>
      <c r="N3">
        <v>1.1169308828173226</v>
      </c>
      <c r="O3">
        <v>1.1517619116152724</v>
      </c>
      <c r="P3">
        <v>1.1576929404892591</v>
      </c>
      <c r="Q3">
        <v>0.47494995629294129</v>
      </c>
      <c r="R3">
        <v>0.34253705743816115</v>
      </c>
      <c r="S3">
        <v>0.1588737504738256</v>
      </c>
      <c r="T3">
        <v>0.22679544564185092</v>
      </c>
      <c r="U3">
        <v>0.24881684309493735</v>
      </c>
      <c r="V3">
        <v>0.24038643277807653</v>
      </c>
      <c r="W3">
        <v>0.22299027499940857</v>
      </c>
      <c r="X3">
        <v>0.15226226958773284</v>
      </c>
      <c r="Y3">
        <v>2.206244495776039E-4</v>
      </c>
      <c r="Z3">
        <v>3.4370419703846675E-2</v>
      </c>
      <c r="AA3">
        <v>0.28965618870716903</v>
      </c>
      <c r="AB3">
        <v>0.24654914813650983</v>
      </c>
      <c r="AC3">
        <v>0.32937449288979936</v>
      </c>
      <c r="AD3">
        <v>0.28659363242865321</v>
      </c>
      <c r="AE3">
        <v>0.2966064441943238</v>
      </c>
    </row>
    <row r="4" spans="1:31" x14ac:dyDescent="0.25">
      <c r="A4" s="11">
        <v>2</v>
      </c>
      <c r="B4">
        <v>0.77172027756510753</v>
      </c>
      <c r="C4">
        <v>0.72566266901008036</v>
      </c>
      <c r="D4">
        <v>0.87634704405361008</v>
      </c>
      <c r="E4">
        <v>0.66675356622587079</v>
      </c>
      <c r="F4">
        <v>0.87212405399494819</v>
      </c>
      <c r="G4">
        <v>1.188381593353786</v>
      </c>
      <c r="H4">
        <v>0.84162760869975428</v>
      </c>
      <c r="I4">
        <v>0.79557545110530947</v>
      </c>
      <c r="J4">
        <v>0.85630709522762138</v>
      </c>
      <c r="K4">
        <v>0.8419359417720963</v>
      </c>
      <c r="L4">
        <v>0.86028683332067613</v>
      </c>
      <c r="M4">
        <v>0.65690588527130989</v>
      </c>
      <c r="N4">
        <v>0.69709470407261265</v>
      </c>
      <c r="O4">
        <v>0.81024109422556045</v>
      </c>
      <c r="P4">
        <v>0.82782455495392671</v>
      </c>
      <c r="Q4">
        <v>0.58843096775729886</v>
      </c>
      <c r="R4">
        <v>0.64166124053195051</v>
      </c>
      <c r="S4">
        <v>0.46898658565846296</v>
      </c>
      <c r="T4">
        <v>0.73776137121347818</v>
      </c>
      <c r="U4">
        <v>0.71415147838411974</v>
      </c>
      <c r="V4">
        <v>0.10970018097728003</v>
      </c>
      <c r="W4">
        <v>0.55403165149347544</v>
      </c>
      <c r="X4">
        <v>0.65349006500383355</v>
      </c>
      <c r="Y4">
        <v>0.54892253209475816</v>
      </c>
      <c r="Z4">
        <v>0.56791878485959624</v>
      </c>
      <c r="AA4">
        <v>0.52011501163730278</v>
      </c>
      <c r="AB4">
        <v>0.72147975768167683</v>
      </c>
      <c r="AC4">
        <v>0.67698705527045555</v>
      </c>
      <c r="AD4">
        <v>0.57173952743693568</v>
      </c>
      <c r="AE4">
        <v>0.54741228106406459</v>
      </c>
    </row>
    <row r="5" spans="1:31" x14ac:dyDescent="0.25">
      <c r="A5" s="11">
        <v>3</v>
      </c>
      <c r="B5">
        <v>1.2204063919298798</v>
      </c>
      <c r="C5">
        <v>0.98630266654308507</v>
      </c>
      <c r="D5">
        <v>1.1390039070316256</v>
      </c>
      <c r="E5">
        <v>0.89430091376741361</v>
      </c>
      <c r="F5">
        <v>1.2546549223089498</v>
      </c>
      <c r="G5">
        <v>0.91536555471482794</v>
      </c>
      <c r="H5">
        <v>0.90117543358937613</v>
      </c>
      <c r="I5">
        <v>1.1797819104930432</v>
      </c>
      <c r="J5">
        <v>1.2580602901603051</v>
      </c>
      <c r="K5">
        <v>1.1330497359745513</v>
      </c>
      <c r="L5">
        <v>0.96417172022606645</v>
      </c>
      <c r="M5">
        <v>0.88413242122019953</v>
      </c>
      <c r="N5">
        <v>0.91412922124458473</v>
      </c>
      <c r="O5">
        <v>0.89803746223588965</v>
      </c>
      <c r="P5">
        <v>0.98047204298322166</v>
      </c>
      <c r="Q5">
        <v>0.58565380557239</v>
      </c>
      <c r="R5">
        <v>0.66816017628292179</v>
      </c>
      <c r="S5">
        <v>0.63575838422972908</v>
      </c>
      <c r="T5">
        <v>0.73540630989489442</v>
      </c>
      <c r="U5">
        <v>0.7920712132313984</v>
      </c>
      <c r="V5">
        <v>0.76023292511808493</v>
      </c>
      <c r="W5">
        <v>0.72191926176170473</v>
      </c>
      <c r="X5">
        <v>0.56226132575297783</v>
      </c>
      <c r="Y5">
        <v>0.56567953412991401</v>
      </c>
      <c r="Z5">
        <v>0.6756898044661358</v>
      </c>
      <c r="AA5">
        <v>0.7134513796859322</v>
      </c>
      <c r="AB5">
        <v>0.77119738426765772</v>
      </c>
      <c r="AC5">
        <v>0.73120573325075866</v>
      </c>
      <c r="AD5">
        <v>0.7316579707334685</v>
      </c>
      <c r="AE5">
        <v>0.68249957422652852</v>
      </c>
    </row>
    <row r="6" spans="1:31" x14ac:dyDescent="0.25">
      <c r="A6" s="11">
        <v>4</v>
      </c>
      <c r="B6">
        <v>2.3449519748607681</v>
      </c>
      <c r="C6">
        <v>0.96035173356037462</v>
      </c>
      <c r="D6">
        <v>1.7829693263388606</v>
      </c>
      <c r="E6">
        <v>1.240711707102218</v>
      </c>
      <c r="F6">
        <v>1.7468594439137533</v>
      </c>
      <c r="G6">
        <v>1.3054420753031009</v>
      </c>
      <c r="H6">
        <v>1.8316501227507263</v>
      </c>
      <c r="I6">
        <v>1.4069593692309195</v>
      </c>
      <c r="J6">
        <v>1.542297161027721</v>
      </c>
      <c r="K6">
        <v>1.4662610240530163</v>
      </c>
      <c r="L6">
        <v>1.3013872652517133</v>
      </c>
      <c r="M6">
        <v>1.1606272449109145</v>
      </c>
      <c r="N6">
        <v>1.1951255382304335</v>
      </c>
      <c r="O6">
        <v>1.0692190157421366</v>
      </c>
      <c r="P6">
        <v>0.87460156766128838</v>
      </c>
      <c r="Q6">
        <v>2.1086323093104003E-3</v>
      </c>
      <c r="R6">
        <v>0.79876036447327237</v>
      </c>
      <c r="S6">
        <v>0.2252176867246998</v>
      </c>
      <c r="T6">
        <v>0.63425310334020168</v>
      </c>
      <c r="U6">
        <v>0.3723319285387654</v>
      </c>
      <c r="V6">
        <v>0.65709407462439828</v>
      </c>
      <c r="W6">
        <v>0.17838425583453085</v>
      </c>
      <c r="X6">
        <v>0.57139365691245803</v>
      </c>
      <c r="Y6">
        <v>0.61336983927156952</v>
      </c>
      <c r="Z6">
        <v>0.66571384236336872</v>
      </c>
      <c r="AA6">
        <v>0.58424107191106134</v>
      </c>
      <c r="AB6">
        <v>0.7073886826771959</v>
      </c>
      <c r="AC6">
        <v>0.70329600884922161</v>
      </c>
      <c r="AD6">
        <v>0.76905425397984517</v>
      </c>
      <c r="AE6">
        <v>0.83558787102915566</v>
      </c>
    </row>
    <row r="7" spans="1:31" x14ac:dyDescent="0.25">
      <c r="A7" s="11">
        <v>5</v>
      </c>
      <c r="B7">
        <v>1.1023714510282669</v>
      </c>
      <c r="C7">
        <v>0.94564467832144494</v>
      </c>
      <c r="D7">
        <v>1.0585712080810468</v>
      </c>
      <c r="E7">
        <v>1.2614865102291355</v>
      </c>
      <c r="F7">
        <v>0.77119104988793152</v>
      </c>
      <c r="G7">
        <v>1.1247196731787215</v>
      </c>
      <c r="H7">
        <v>1.8198128467731782</v>
      </c>
      <c r="I7">
        <v>1.0581742622327543</v>
      </c>
      <c r="J7">
        <v>0.86493296715063428</v>
      </c>
      <c r="K7">
        <v>0.96000225786370774</v>
      </c>
      <c r="L7">
        <v>0.89012528731367369</v>
      </c>
      <c r="M7">
        <v>0.94707494561210681</v>
      </c>
      <c r="N7">
        <v>0.95343280209046888</v>
      </c>
      <c r="O7">
        <v>1.2001351967142424</v>
      </c>
      <c r="P7">
        <v>1.2579831098780732</v>
      </c>
      <c r="Q7">
        <v>0.27934513036826675</v>
      </c>
      <c r="R7">
        <v>0.53498092510798767</v>
      </c>
      <c r="S7">
        <v>9.8831821503891346E-2</v>
      </c>
      <c r="T7">
        <v>0.29796850289790888</v>
      </c>
      <c r="U7">
        <v>0.41441133066761154</v>
      </c>
      <c r="V7">
        <v>0.26682946126864804</v>
      </c>
      <c r="W7">
        <v>3.1989323931334E-4</v>
      </c>
      <c r="X7">
        <v>9.66770861877915E-2</v>
      </c>
      <c r="Y7">
        <v>0.26188236686783972</v>
      </c>
      <c r="Z7">
        <v>0.13324161413696273</v>
      </c>
      <c r="AA7">
        <v>0.41232159825194575</v>
      </c>
      <c r="AB7">
        <v>0.4948035804169435</v>
      </c>
      <c r="AC7">
        <v>0.41174093581452187</v>
      </c>
      <c r="AD7">
        <v>0.17328839082513003</v>
      </c>
      <c r="AE7">
        <v>0.1558382470679863</v>
      </c>
    </row>
    <row r="8" spans="1:31" x14ac:dyDescent="0.25">
      <c r="A8" s="11">
        <v>6</v>
      </c>
      <c r="B8">
        <v>1.1448525400067542</v>
      </c>
      <c r="C8">
        <v>0.8237876798486975</v>
      </c>
      <c r="D8">
        <v>0.71258060018767944</v>
      </c>
      <c r="E8">
        <v>0.79307534976208272</v>
      </c>
      <c r="F8">
        <v>1.0927902135092842</v>
      </c>
      <c r="G8">
        <v>0.78829964015631981</v>
      </c>
      <c r="H8">
        <v>0.88020947399776184</v>
      </c>
      <c r="I8">
        <v>0.99092051070666942</v>
      </c>
      <c r="J8">
        <v>0.98032000004760345</v>
      </c>
      <c r="K8">
        <v>0.9282269937832196</v>
      </c>
      <c r="L8">
        <v>0.6989811721832474</v>
      </c>
      <c r="M8">
        <v>0.81048974799952478</v>
      </c>
      <c r="N8">
        <v>0.81729470879659849</v>
      </c>
      <c r="O8">
        <v>0.76304947103306042</v>
      </c>
      <c r="P8">
        <v>0.62368777059138347</v>
      </c>
      <c r="Q8">
        <v>0.36050000610611466</v>
      </c>
      <c r="R8">
        <v>0.6663047783345164</v>
      </c>
      <c r="S8">
        <v>0.85607810010133834</v>
      </c>
      <c r="T8">
        <v>0.78315251124353413</v>
      </c>
      <c r="U8">
        <v>0.71165487216379852</v>
      </c>
      <c r="V8">
        <v>0.69924400859223079</v>
      </c>
      <c r="W8">
        <v>0.61543004922218214</v>
      </c>
      <c r="X8">
        <v>0.78693239660781666</v>
      </c>
      <c r="Y8">
        <v>0.79398652731474006</v>
      </c>
      <c r="Z8">
        <v>0.83839382397091933</v>
      </c>
      <c r="AA8">
        <v>0.80508632721105722</v>
      </c>
      <c r="AB8">
        <v>0.6734812877539802</v>
      </c>
      <c r="AC8">
        <v>0.66456846310328588</v>
      </c>
      <c r="AD8">
        <v>0.760806939514312</v>
      </c>
      <c r="AE8">
        <v>0.90788571505474214</v>
      </c>
    </row>
    <row r="9" spans="1:31" x14ac:dyDescent="0.25">
      <c r="A9" s="11">
        <v>7</v>
      </c>
      <c r="B9">
        <v>1.3017050864439945</v>
      </c>
      <c r="C9">
        <v>0.98496096113589726</v>
      </c>
      <c r="D9">
        <v>1.1267402608578798</v>
      </c>
      <c r="E9">
        <v>0.91986127121321937</v>
      </c>
      <c r="F9">
        <v>1.1564450104573356</v>
      </c>
      <c r="G9">
        <v>0.92857318160197622</v>
      </c>
      <c r="H9">
        <v>1.3113180070633452</v>
      </c>
      <c r="I9">
        <v>1.0805382612289427</v>
      </c>
      <c r="J9">
        <v>1.608680099500545</v>
      </c>
      <c r="K9">
        <v>1.3489817426763664</v>
      </c>
      <c r="L9">
        <v>1.2726129958295453</v>
      </c>
      <c r="M9">
        <v>1.0363025526267655</v>
      </c>
      <c r="N9">
        <v>0.950415959627678</v>
      </c>
      <c r="O9">
        <v>0.99667600997749861</v>
      </c>
      <c r="P9">
        <v>0.84266253229124888</v>
      </c>
      <c r="Q9">
        <v>0.35098446063990946</v>
      </c>
      <c r="R9">
        <v>0.61979993843545533</v>
      </c>
      <c r="S9">
        <v>0.54674307992465931</v>
      </c>
      <c r="T9">
        <v>0.69492316628656292</v>
      </c>
      <c r="U9">
        <v>0.66865520809771317</v>
      </c>
      <c r="V9">
        <v>0.67822209033863501</v>
      </c>
      <c r="W9">
        <v>0.33247305462575683</v>
      </c>
      <c r="X9">
        <v>0.68846816398373067</v>
      </c>
      <c r="Y9">
        <v>3.7298542735227452E-2</v>
      </c>
      <c r="Z9">
        <v>0.25931783354450172</v>
      </c>
      <c r="AA9">
        <v>0.49308213554026253</v>
      </c>
      <c r="AB9">
        <v>0.55734373818074034</v>
      </c>
      <c r="AC9">
        <v>0.64514788078481933</v>
      </c>
      <c r="AD9">
        <v>0.70572020259658197</v>
      </c>
      <c r="AE9">
        <v>0.85772589204786431</v>
      </c>
    </row>
    <row r="10" spans="1:31" x14ac:dyDescent="0.25">
      <c r="A10" s="11">
        <v>8</v>
      </c>
      <c r="B10">
        <v>0.97517889607595754</v>
      </c>
      <c r="C10">
        <v>0.53281366500414939</v>
      </c>
      <c r="D10">
        <v>0.77627990273547598</v>
      </c>
      <c r="E10">
        <v>0.50145890494344281</v>
      </c>
      <c r="F10">
        <v>0.7622481247330668</v>
      </c>
      <c r="G10">
        <v>0.70074936779153141</v>
      </c>
      <c r="H10">
        <v>1.2890184200404646</v>
      </c>
      <c r="I10">
        <v>0.87033228808303209</v>
      </c>
      <c r="J10">
        <v>0.80679071838150085</v>
      </c>
      <c r="K10">
        <v>0.77345844826378063</v>
      </c>
      <c r="L10">
        <v>0.5093253698486474</v>
      </c>
      <c r="M10">
        <v>0.5296282609858034</v>
      </c>
      <c r="N10">
        <v>0.54963150108630465</v>
      </c>
      <c r="O10">
        <v>0.74497669717711512</v>
      </c>
      <c r="P10">
        <v>0.91475706467513929</v>
      </c>
      <c r="Q10">
        <v>0.33782178287265596</v>
      </c>
      <c r="R10">
        <v>0.80746733705438245</v>
      </c>
      <c r="S10">
        <v>0.58581524855900435</v>
      </c>
      <c r="T10">
        <v>0.83710923892004352</v>
      </c>
      <c r="U10">
        <v>0.82090914950050031</v>
      </c>
      <c r="V10">
        <v>0.69831174525553108</v>
      </c>
      <c r="W10">
        <v>0.46072674284422477</v>
      </c>
      <c r="X10">
        <v>0.47732488104528564</v>
      </c>
      <c r="Y10">
        <v>0.61405179162522794</v>
      </c>
      <c r="Z10">
        <v>0.61628686579460679</v>
      </c>
      <c r="AA10">
        <v>0.8264155022051306</v>
      </c>
      <c r="AB10">
        <v>0.81169836988757071</v>
      </c>
      <c r="AC10">
        <v>0.79132973709166676</v>
      </c>
      <c r="AD10">
        <v>0.65003952091431461</v>
      </c>
      <c r="AE10">
        <v>0.50314939021294491</v>
      </c>
    </row>
    <row r="11" spans="1:31" x14ac:dyDescent="0.25">
      <c r="A11" s="11">
        <v>9</v>
      </c>
      <c r="B11">
        <v>0.79528440157405345</v>
      </c>
      <c r="C11">
        <v>0.85343351634334508</v>
      </c>
      <c r="D11">
        <v>0.82401979212688437</v>
      </c>
      <c r="E11">
        <v>0.82032953326950675</v>
      </c>
      <c r="F11">
        <v>0.8401778557134002</v>
      </c>
      <c r="G11">
        <v>0.74924914322651504</v>
      </c>
      <c r="H11">
        <v>1.1569915914151379</v>
      </c>
      <c r="I11">
        <v>0.84986783286187129</v>
      </c>
      <c r="J11">
        <v>0.83203967290583569</v>
      </c>
      <c r="K11">
        <v>0.86968829819975368</v>
      </c>
      <c r="L11">
        <v>0.78010283802612634</v>
      </c>
      <c r="M11">
        <v>0.8215799616686742</v>
      </c>
      <c r="N11">
        <v>0.80252718389524558</v>
      </c>
      <c r="O11">
        <v>0.73658051088905652</v>
      </c>
      <c r="P11">
        <v>0.75776158412980832</v>
      </c>
      <c r="Q11">
        <v>0.59428215099359605</v>
      </c>
      <c r="R11">
        <v>0.47192425684428929</v>
      </c>
      <c r="S11">
        <v>0.59077871577791286</v>
      </c>
      <c r="T11">
        <v>0.53423139569003308</v>
      </c>
      <c r="U11">
        <v>0.50105356673773183</v>
      </c>
      <c r="V11">
        <v>0.61535899314968978</v>
      </c>
      <c r="W11">
        <v>0.37150704622488662</v>
      </c>
      <c r="X11">
        <v>0.54111252272294375</v>
      </c>
      <c r="Y11">
        <v>0.71241804989884838</v>
      </c>
      <c r="Z11">
        <v>0.58850652932973302</v>
      </c>
      <c r="AA11">
        <v>0.61316781789997299</v>
      </c>
      <c r="AB11">
        <v>0.49704578387263537</v>
      </c>
      <c r="AC11">
        <v>0.51834249781667274</v>
      </c>
      <c r="AD11">
        <v>0.64524732814285879</v>
      </c>
      <c r="AE11">
        <v>0.65501006400413098</v>
      </c>
    </row>
    <row r="12" spans="1:31" x14ac:dyDescent="0.25">
      <c r="A12" s="14">
        <v>10</v>
      </c>
      <c r="B12">
        <v>0.87680974494917274</v>
      </c>
      <c r="C12">
        <v>0.72579853809281458</v>
      </c>
      <c r="D12">
        <v>0.68785324334700926</v>
      </c>
      <c r="E12">
        <v>0.81499757550881702</v>
      </c>
      <c r="F12">
        <v>0.85031936991751322</v>
      </c>
      <c r="G12">
        <v>0.72473915105781339</v>
      </c>
      <c r="H12">
        <v>0.80454324164744762</v>
      </c>
      <c r="I12">
        <v>0.74016891218930558</v>
      </c>
      <c r="J12">
        <v>0.97751740797559894</v>
      </c>
      <c r="K12">
        <v>0.91173952577888162</v>
      </c>
      <c r="L12">
        <v>0.79129110892283716</v>
      </c>
      <c r="M12">
        <v>0.76670299487415594</v>
      </c>
      <c r="N12">
        <v>0.78950874342730781</v>
      </c>
      <c r="O12">
        <v>0.71438992326757389</v>
      </c>
      <c r="P12">
        <v>0.69929125998923591</v>
      </c>
      <c r="Q12">
        <v>0.52840593086675747</v>
      </c>
      <c r="R12">
        <v>0.68328957329737827</v>
      </c>
      <c r="S12">
        <v>0.68867488041833136</v>
      </c>
      <c r="T12">
        <v>0.54819814650566967</v>
      </c>
      <c r="U12">
        <v>0.66696679888484389</v>
      </c>
      <c r="V12">
        <v>0.65145660028937802</v>
      </c>
      <c r="W12">
        <v>0.59490998555236096</v>
      </c>
      <c r="X12">
        <v>0.70512881197066579</v>
      </c>
      <c r="Y12">
        <v>0.35651413442203217</v>
      </c>
      <c r="Z12">
        <v>0.47825404473460659</v>
      </c>
      <c r="AA12">
        <v>0.59972639412993534</v>
      </c>
      <c r="AB12">
        <v>0.64207445582982714</v>
      </c>
      <c r="AC12">
        <v>0.60461222268409121</v>
      </c>
      <c r="AD12">
        <v>0.67940078208794052</v>
      </c>
      <c r="AE12">
        <v>0.72462860458882339</v>
      </c>
    </row>
    <row r="14" spans="1:31" x14ac:dyDescent="0.25">
      <c r="A14" s="4" t="s">
        <v>17</v>
      </c>
      <c r="B14" s="4">
        <f>AVERAGE(B3:B12)</f>
        <v>1.1544292490757928</v>
      </c>
      <c r="C14" s="5">
        <f t="shared" ref="C14:AE14" si="0">AVERAGE(C3:C12)</f>
        <v>0.86438515287750906</v>
      </c>
      <c r="D14" s="5">
        <f t="shared" si="0"/>
        <v>1.0228098838340212</v>
      </c>
      <c r="E14" s="5">
        <f t="shared" si="0"/>
        <v>0.91807849053794077</v>
      </c>
      <c r="F14" s="5">
        <f t="shared" si="0"/>
        <v>1.0538842675250315</v>
      </c>
      <c r="G14" s="5">
        <f t="shared" si="0"/>
        <v>0.96362304836367263</v>
      </c>
      <c r="H14" s="5">
        <f t="shared" si="0"/>
        <v>1.208398885901018</v>
      </c>
      <c r="I14" s="5">
        <f t="shared" si="0"/>
        <v>1.0231382471395967</v>
      </c>
      <c r="J14" s="5">
        <f t="shared" si="0"/>
        <v>1.1254245689535316</v>
      </c>
      <c r="K14" s="5">
        <f t="shared" si="0"/>
        <v>1.0614208571856847</v>
      </c>
      <c r="L14" s="5">
        <f t="shared" si="0"/>
        <v>0.92377528046316537</v>
      </c>
      <c r="M14" s="5">
        <f t="shared" si="0"/>
        <v>0.88377880890103566</v>
      </c>
      <c r="N14" s="5">
        <f t="shared" si="0"/>
        <v>0.87860912452885565</v>
      </c>
      <c r="O14" s="5">
        <f t="shared" si="0"/>
        <v>0.90850672928774068</v>
      </c>
      <c r="P14" s="6">
        <f t="shared" si="0"/>
        <v>0.89367344276425842</v>
      </c>
      <c r="Q14" s="5">
        <f t="shared" si="0"/>
        <v>0.41024828237792405</v>
      </c>
      <c r="R14" s="5">
        <f t="shared" si="0"/>
        <v>0.62348856478003145</v>
      </c>
      <c r="S14" s="5">
        <f t="shared" si="0"/>
        <v>0.48557582533718546</v>
      </c>
      <c r="T14" s="5">
        <f t="shared" si="0"/>
        <v>0.60297991916341787</v>
      </c>
      <c r="U14" s="5">
        <f t="shared" si="0"/>
        <v>0.59110223893014202</v>
      </c>
      <c r="V14" s="5">
        <f t="shared" si="0"/>
        <v>0.53768365123919526</v>
      </c>
      <c r="W14" s="5">
        <f t="shared" si="0"/>
        <v>0.4052692215797844</v>
      </c>
      <c r="X14" s="5">
        <f t="shared" si="0"/>
        <v>0.52350511797752364</v>
      </c>
      <c r="Y14" s="5">
        <f t="shared" si="0"/>
        <v>0.45043439428097348</v>
      </c>
      <c r="Z14" s="5">
        <f t="shared" si="0"/>
        <v>0.48576935629042772</v>
      </c>
      <c r="AA14" s="5">
        <f t="shared" si="0"/>
        <v>0.58572634271797697</v>
      </c>
      <c r="AB14" s="5">
        <f t="shared" si="0"/>
        <v>0.61230621887047376</v>
      </c>
      <c r="AC14" s="5">
        <f t="shared" si="0"/>
        <v>0.6076605027555293</v>
      </c>
      <c r="AD14" s="5">
        <f t="shared" si="0"/>
        <v>0.59735485486600404</v>
      </c>
      <c r="AE14" s="6">
        <f t="shared" si="0"/>
        <v>0.61663440834905647</v>
      </c>
    </row>
    <row r="15" spans="1:31" x14ac:dyDescent="0.25">
      <c r="A15" s="7" t="s">
        <v>19</v>
      </c>
      <c r="B15" s="7">
        <f>MEDIAN(B3:B12)</f>
        <v>1.0566915886761208</v>
      </c>
      <c r="C15" s="8">
        <f t="shared" ref="C15:AE15" si="1">MEDIAN(C3:C12)</f>
        <v>0.89953909733239501</v>
      </c>
      <c r="D15" s="8">
        <f t="shared" si="1"/>
        <v>0.96745912606732842</v>
      </c>
      <c r="E15" s="8">
        <f t="shared" si="1"/>
        <v>0.85731522351846023</v>
      </c>
      <c r="F15" s="8">
        <f t="shared" si="1"/>
        <v>0.98245713375211619</v>
      </c>
      <c r="G15" s="8">
        <f t="shared" si="1"/>
        <v>0.92196936815840203</v>
      </c>
      <c r="H15" s="8">
        <f t="shared" si="1"/>
        <v>1.2023168522240624</v>
      </c>
      <c r="I15" s="8">
        <f t="shared" si="1"/>
        <v>1.0245473864697119</v>
      </c>
      <c r="J15" s="8">
        <f t="shared" si="1"/>
        <v>0.97891870401160119</v>
      </c>
      <c r="K15" s="8">
        <f t="shared" si="1"/>
        <v>0.94411462582346362</v>
      </c>
      <c r="L15" s="8">
        <f t="shared" si="1"/>
        <v>0.87520606031717496</v>
      </c>
      <c r="M15" s="8">
        <f t="shared" si="1"/>
        <v>0.85285619144443681</v>
      </c>
      <c r="N15" s="8">
        <f t="shared" si="1"/>
        <v>0.86571196502059156</v>
      </c>
      <c r="O15" s="8">
        <f t="shared" si="1"/>
        <v>0.85413927823072511</v>
      </c>
      <c r="P15" s="9">
        <f t="shared" si="1"/>
        <v>0.85863204997626863</v>
      </c>
      <c r="Q15" s="8">
        <f t="shared" si="1"/>
        <v>0.41772498119952794</v>
      </c>
      <c r="R15" s="8">
        <f t="shared" si="1"/>
        <v>0.65398300943323351</v>
      </c>
      <c r="S15" s="8">
        <f t="shared" si="1"/>
        <v>0.56627916424183189</v>
      </c>
      <c r="T15" s="8">
        <f t="shared" si="1"/>
        <v>0.6645881348133823</v>
      </c>
      <c r="U15" s="8">
        <f t="shared" si="1"/>
        <v>0.66781100349127853</v>
      </c>
      <c r="V15" s="8">
        <f t="shared" si="1"/>
        <v>0.65427533745688815</v>
      </c>
      <c r="W15" s="8">
        <f t="shared" si="1"/>
        <v>0.41611689453455569</v>
      </c>
      <c r="X15" s="8">
        <f t="shared" si="1"/>
        <v>0.56682749133271793</v>
      </c>
      <c r="Y15" s="8">
        <f t="shared" si="1"/>
        <v>0.55730103311233603</v>
      </c>
      <c r="Z15" s="8">
        <f t="shared" si="1"/>
        <v>0.57821265709466463</v>
      </c>
      <c r="AA15" s="8">
        <f t="shared" si="1"/>
        <v>0.59198373302049834</v>
      </c>
      <c r="AB15" s="8">
        <f t="shared" si="1"/>
        <v>0.65777787179190361</v>
      </c>
      <c r="AC15" s="8">
        <f t="shared" si="1"/>
        <v>0.6548581719440526</v>
      </c>
      <c r="AD15" s="8">
        <f t="shared" si="1"/>
        <v>0.66472015150112762</v>
      </c>
      <c r="AE15" s="9">
        <f t="shared" si="1"/>
        <v>0.66875481911532975</v>
      </c>
    </row>
  </sheetData>
  <mergeCells count="2">
    <mergeCell ref="B1:P1"/>
    <mergeCell ref="Q1:A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"/>
  <sheetViews>
    <sheetView zoomScale="90" zoomScaleNormal="90" workbookViewId="0">
      <selection activeCell="F24" sqref="F24"/>
    </sheetView>
  </sheetViews>
  <sheetFormatPr defaultRowHeight="15" x14ac:dyDescent="0.25"/>
  <sheetData>
    <row r="1" spans="1:31" x14ac:dyDescent="0.25">
      <c r="A1" s="10"/>
      <c r="B1" s="29" t="s">
        <v>0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  <c r="Q1" s="31" t="s">
        <v>1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30"/>
    </row>
    <row r="2" spans="1:31" x14ac:dyDescent="0.25">
      <c r="A2" s="11"/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3" t="s">
        <v>16</v>
      </c>
      <c r="Q2" s="7" t="s">
        <v>2</v>
      </c>
      <c r="R2" s="8" t="s">
        <v>3</v>
      </c>
      <c r="S2" s="8" t="s">
        <v>4</v>
      </c>
      <c r="T2" s="8" t="s">
        <v>5</v>
      </c>
      <c r="U2" s="8" t="s">
        <v>6</v>
      </c>
      <c r="V2" s="8" t="s">
        <v>7</v>
      </c>
      <c r="W2" s="8" t="s">
        <v>8</v>
      </c>
      <c r="X2" s="8" t="s">
        <v>9</v>
      </c>
      <c r="Y2" s="8" t="s">
        <v>10</v>
      </c>
      <c r="Z2" s="8" t="s">
        <v>11</v>
      </c>
      <c r="AA2" s="8" t="s">
        <v>12</v>
      </c>
      <c r="AB2" s="8" t="s">
        <v>13</v>
      </c>
      <c r="AC2" s="8" t="s">
        <v>14</v>
      </c>
      <c r="AD2" s="8" t="s">
        <v>15</v>
      </c>
      <c r="AE2" s="9" t="s">
        <v>16</v>
      </c>
    </row>
    <row r="3" spans="1:31" x14ac:dyDescent="0.25">
      <c r="A3" s="11">
        <v>1</v>
      </c>
      <c r="B3">
        <v>0.57481938532558496</v>
      </c>
      <c r="C3">
        <v>0.9121311513503233</v>
      </c>
      <c r="D3">
        <v>0.80821936244731851</v>
      </c>
      <c r="E3">
        <v>0.89730891520103062</v>
      </c>
      <c r="F3">
        <v>0.81000779231164388</v>
      </c>
      <c r="G3">
        <v>0.81516247996927993</v>
      </c>
      <c r="H3">
        <v>1.1358113127667082</v>
      </c>
      <c r="I3">
        <v>0.75346953046114173</v>
      </c>
      <c r="J3">
        <v>0.73054954409169504</v>
      </c>
      <c r="K3">
        <v>0.87146435309526571</v>
      </c>
      <c r="L3">
        <v>0.80497211899481336</v>
      </c>
      <c r="M3">
        <v>0.79254300764569452</v>
      </c>
      <c r="N3">
        <v>0.78579229417024266</v>
      </c>
      <c r="O3">
        <v>0.73671395628482106</v>
      </c>
      <c r="P3">
        <v>0.90600242568190736</v>
      </c>
      <c r="Q3">
        <v>0.74466095419999268</v>
      </c>
      <c r="R3">
        <v>0.43952655200978902</v>
      </c>
      <c r="S3">
        <v>0.592707321525067</v>
      </c>
      <c r="T3">
        <v>0.42933088285054677</v>
      </c>
      <c r="U3">
        <v>0.50662308257663091</v>
      </c>
      <c r="V3">
        <v>0.63216567136970059</v>
      </c>
      <c r="W3">
        <v>0.3354322224685421</v>
      </c>
      <c r="X3">
        <v>0.57708360012406412</v>
      </c>
      <c r="Y3">
        <v>0.62254057684717612</v>
      </c>
      <c r="Z3">
        <v>0.40470502953695497</v>
      </c>
      <c r="AA3">
        <v>0.48989913061378704</v>
      </c>
      <c r="AB3">
        <v>0.51745631318426855</v>
      </c>
      <c r="AC3">
        <v>0.53410261125033986</v>
      </c>
      <c r="AD3">
        <v>0.63176145501481007</v>
      </c>
      <c r="AE3">
        <v>0.5451791791068975</v>
      </c>
    </row>
    <row r="4" spans="1:31" x14ac:dyDescent="0.25">
      <c r="A4" s="11">
        <v>2</v>
      </c>
      <c r="B4">
        <v>0.9101253015932752</v>
      </c>
      <c r="C4">
        <v>0.79617098326814628</v>
      </c>
      <c r="D4">
        <v>0.65439880224440872</v>
      </c>
      <c r="E4">
        <v>0.92327230132095917</v>
      </c>
      <c r="F4">
        <v>0.91412855805337923</v>
      </c>
      <c r="G4">
        <v>0.91502458954099508</v>
      </c>
      <c r="H4">
        <v>0.99134395519983376</v>
      </c>
      <c r="I4">
        <v>0.78745539556218702</v>
      </c>
      <c r="J4">
        <v>0.95625359432004231</v>
      </c>
      <c r="K4">
        <v>0.92579756119674106</v>
      </c>
      <c r="L4">
        <v>0.66173257559625254</v>
      </c>
      <c r="M4">
        <v>0.92371323862337473</v>
      </c>
      <c r="N4">
        <v>0.84794762090321163</v>
      </c>
      <c r="O4">
        <v>0.75408588640286867</v>
      </c>
      <c r="P4">
        <v>1.0024763076145491</v>
      </c>
      <c r="Q4">
        <v>0.60463995146961247</v>
      </c>
      <c r="R4">
        <v>0.66269517732843641</v>
      </c>
      <c r="S4">
        <v>0.8657010788236098</v>
      </c>
      <c r="T4">
        <v>0.59689275220794313</v>
      </c>
      <c r="U4">
        <v>0.69828847652434878</v>
      </c>
      <c r="V4">
        <v>0.57533737112778638</v>
      </c>
      <c r="W4">
        <v>0.59954611173327543</v>
      </c>
      <c r="X4">
        <v>0.75264596355729407</v>
      </c>
      <c r="Y4">
        <v>0.61413315164650151</v>
      </c>
      <c r="Z4">
        <v>0.66929451864907474</v>
      </c>
      <c r="AA4">
        <v>0.76879044161834464</v>
      </c>
      <c r="AB4">
        <v>0.57757701153627516</v>
      </c>
      <c r="AC4">
        <v>0.63455314382327321</v>
      </c>
      <c r="AD4">
        <v>0.70330977030219055</v>
      </c>
      <c r="AE4">
        <v>0.57392884520407106</v>
      </c>
    </row>
    <row r="5" spans="1:31" x14ac:dyDescent="0.25">
      <c r="A5" s="11">
        <v>3</v>
      </c>
      <c r="B5">
        <v>1.0192864322242228</v>
      </c>
      <c r="C5">
        <v>1.2103357371503609</v>
      </c>
      <c r="D5">
        <v>1.1419288300794812</v>
      </c>
      <c r="E5">
        <v>1.3693212525734728</v>
      </c>
      <c r="F5">
        <v>1.4454690470869256</v>
      </c>
      <c r="G5">
        <v>1.3790299025050183</v>
      </c>
      <c r="H5">
        <v>1.1897472798577533</v>
      </c>
      <c r="I5">
        <v>1.2684192463911073</v>
      </c>
      <c r="J5">
        <v>1.3307011231135608</v>
      </c>
      <c r="K5">
        <v>1.3469481291461192</v>
      </c>
      <c r="L5">
        <v>1.2237399678945438</v>
      </c>
      <c r="M5">
        <v>1.2753605857934092</v>
      </c>
      <c r="N5">
        <v>1.212590982057334</v>
      </c>
      <c r="O5">
        <v>1.1901488207861299</v>
      </c>
      <c r="P5">
        <v>1.1433984135828463</v>
      </c>
      <c r="Q5">
        <v>0.79610703208950473</v>
      </c>
      <c r="R5">
        <v>0.62787506167069596</v>
      </c>
      <c r="S5">
        <v>0.66674535583805083</v>
      </c>
      <c r="T5">
        <v>0.45115515755305702</v>
      </c>
      <c r="U5">
        <v>0.59850440925929183</v>
      </c>
      <c r="V5">
        <v>0.58821420849076378</v>
      </c>
      <c r="W5">
        <v>0.59194143228815066</v>
      </c>
      <c r="X5">
        <v>0.689621268921084</v>
      </c>
      <c r="Y5">
        <v>0.70772771068672324</v>
      </c>
      <c r="Z5">
        <v>0.64990867734879687</v>
      </c>
      <c r="AA5">
        <v>0.6400091688690317</v>
      </c>
      <c r="AB5">
        <v>0.56086969231486106</v>
      </c>
      <c r="AC5">
        <v>0.60581946947361098</v>
      </c>
      <c r="AD5">
        <v>0.63657837628025005</v>
      </c>
      <c r="AE5">
        <v>0.65288407744470145</v>
      </c>
    </row>
    <row r="6" spans="1:31" x14ac:dyDescent="0.25">
      <c r="A6" s="11">
        <v>4</v>
      </c>
      <c r="B6">
        <v>1.0386990537539815</v>
      </c>
      <c r="C6">
        <v>1.0189778043187856</v>
      </c>
      <c r="D6">
        <v>1.1148953955745131</v>
      </c>
      <c r="E6">
        <v>1.0036754759025699</v>
      </c>
      <c r="F6">
        <v>1.0484943818527754</v>
      </c>
      <c r="G6">
        <v>1.0407544083418929</v>
      </c>
      <c r="H6">
        <v>1.2374965045189017</v>
      </c>
      <c r="I6">
        <v>1.0330000000000001</v>
      </c>
      <c r="J6">
        <v>0.95679743924772298</v>
      </c>
      <c r="K6">
        <v>0.95443128980377634</v>
      </c>
      <c r="L6">
        <v>0.91142891554882099</v>
      </c>
      <c r="M6">
        <v>0.99665040552103823</v>
      </c>
      <c r="N6">
        <v>0.99038792999351188</v>
      </c>
      <c r="O6">
        <v>0.94262269746768235</v>
      </c>
      <c r="P6">
        <v>1.0209660821365469</v>
      </c>
      <c r="Q6">
        <v>0.35468235712913532</v>
      </c>
      <c r="R6">
        <v>0.36271668307837912</v>
      </c>
      <c r="S6">
        <v>0.31196026414864286</v>
      </c>
      <c r="T6">
        <v>0.40518713164681591</v>
      </c>
      <c r="U6">
        <v>0.40814443208005069</v>
      </c>
      <c r="V6">
        <v>0.38084955877504845</v>
      </c>
      <c r="W6">
        <v>0.22770535440141015</v>
      </c>
      <c r="X6">
        <v>0.31719637881315466</v>
      </c>
      <c r="Y6">
        <v>0.51410015834857048</v>
      </c>
      <c r="Z6">
        <v>0.50728336004655983</v>
      </c>
      <c r="AA6">
        <v>0.50027440303823167</v>
      </c>
      <c r="AB6">
        <v>0.40893026285882772</v>
      </c>
      <c r="AC6">
        <v>0.40178772575337407</v>
      </c>
      <c r="AD6">
        <v>0.46362081238088731</v>
      </c>
      <c r="AE6">
        <v>0.3446692477454309</v>
      </c>
    </row>
    <row r="7" spans="1:31" x14ac:dyDescent="0.25">
      <c r="A7" s="11">
        <v>5</v>
      </c>
      <c r="B7">
        <v>1.0050584869201229</v>
      </c>
      <c r="C7">
        <v>1.1177208639045351</v>
      </c>
      <c r="D7">
        <v>0.94443634393289499</v>
      </c>
      <c r="E7">
        <v>1.0558735392883229</v>
      </c>
      <c r="F7">
        <v>1.2223925571178365</v>
      </c>
      <c r="G7">
        <v>1.1150439684981412</v>
      </c>
      <c r="H7">
        <v>0.7808852203876806</v>
      </c>
      <c r="I7">
        <v>1.0477828973599443</v>
      </c>
      <c r="J7">
        <v>1.2806903259919369</v>
      </c>
      <c r="K7">
        <v>1.197024116270289</v>
      </c>
      <c r="L7">
        <v>1.0352296241909329</v>
      </c>
      <c r="M7">
        <v>1.0293626163216247</v>
      </c>
      <c r="N7">
        <v>1.0037171735878838</v>
      </c>
      <c r="O7">
        <v>0.98005432325466868</v>
      </c>
      <c r="P7">
        <v>0.91125154625355764</v>
      </c>
      <c r="Q7">
        <v>0.70853915589953842</v>
      </c>
      <c r="R7">
        <v>0.4797753914702238</v>
      </c>
      <c r="S7">
        <v>0.643116315645333</v>
      </c>
      <c r="T7">
        <v>0.60701871946266917</v>
      </c>
      <c r="U7">
        <v>0.63548652467857714</v>
      </c>
      <c r="V7">
        <v>0.60876309023288666</v>
      </c>
      <c r="W7">
        <v>0.77577544909513918</v>
      </c>
      <c r="X7">
        <v>0.51142360392572694</v>
      </c>
      <c r="Y7">
        <v>0.3718232384874357</v>
      </c>
      <c r="Z7">
        <v>0.43820541704995941</v>
      </c>
      <c r="AA7">
        <v>0.5789591683426264</v>
      </c>
      <c r="AB7">
        <v>0.59377907283894438</v>
      </c>
      <c r="AC7">
        <v>0.65135953875309283</v>
      </c>
      <c r="AD7">
        <v>0.67532507173476253</v>
      </c>
      <c r="AE7">
        <v>0.68841126499847394</v>
      </c>
    </row>
    <row r="8" spans="1:31" x14ac:dyDescent="0.25">
      <c r="A8" s="11">
        <v>6</v>
      </c>
      <c r="B8">
        <v>1.6264752044739519</v>
      </c>
      <c r="C8">
        <v>1.1312880729210841</v>
      </c>
      <c r="D8">
        <v>0.98265159751735842</v>
      </c>
      <c r="E8">
        <v>1.0096740452216086</v>
      </c>
      <c r="F8">
        <v>1.230447819539936</v>
      </c>
      <c r="G8">
        <v>1.1060050624465212</v>
      </c>
      <c r="H8">
        <v>0.83908682779101051</v>
      </c>
      <c r="I8">
        <v>1.2670973390654194</v>
      </c>
      <c r="J8">
        <v>1.2887816812867297</v>
      </c>
      <c r="K8">
        <v>1.223983910018871</v>
      </c>
      <c r="L8">
        <v>1.0739722753967318</v>
      </c>
      <c r="M8">
        <v>1.1607215106252875</v>
      </c>
      <c r="N8">
        <v>1.1147146833349706</v>
      </c>
      <c r="O8">
        <v>0.97458577825864057</v>
      </c>
      <c r="P8">
        <v>1.1034571310564132</v>
      </c>
      <c r="Q8">
        <v>0.18225284230911218</v>
      </c>
      <c r="R8">
        <v>0.54249075560635707</v>
      </c>
      <c r="S8">
        <v>0.71519202905871393</v>
      </c>
      <c r="T8">
        <v>0.67662900699598638</v>
      </c>
      <c r="U8">
        <v>0.65685861747508689</v>
      </c>
      <c r="V8">
        <v>0.6951009323280557</v>
      </c>
      <c r="W8">
        <v>0.73731025068084255</v>
      </c>
      <c r="X8">
        <v>0.40384341894413561</v>
      </c>
      <c r="Y8">
        <v>0.39871346068889701</v>
      </c>
      <c r="Z8">
        <v>0.57380469161382586</v>
      </c>
      <c r="AA8">
        <v>0.60491776251019624</v>
      </c>
      <c r="AB8">
        <v>0.50501216678914351</v>
      </c>
      <c r="AC8">
        <v>0.54771520421540165</v>
      </c>
      <c r="AD8">
        <v>0.68860166369152265</v>
      </c>
      <c r="AE8">
        <v>0.56021085242169733</v>
      </c>
    </row>
    <row r="9" spans="1:31" x14ac:dyDescent="0.25">
      <c r="A9" s="11">
        <v>7</v>
      </c>
      <c r="B9">
        <v>0.98960281353337232</v>
      </c>
      <c r="C9">
        <v>0.85056200137644278</v>
      </c>
      <c r="D9">
        <v>0.9594004750770575</v>
      </c>
      <c r="E9">
        <v>0.8574354119949793</v>
      </c>
      <c r="F9">
        <v>0.93547025391101213</v>
      </c>
      <c r="G9">
        <v>0.92540844734789052</v>
      </c>
      <c r="H9">
        <v>0.8607452841212182</v>
      </c>
      <c r="I9">
        <v>0.66849466248847744</v>
      </c>
      <c r="J9">
        <v>1.1747155769576028</v>
      </c>
      <c r="K9">
        <v>1.0562902028659469</v>
      </c>
      <c r="L9">
        <v>0.76437521562302768</v>
      </c>
      <c r="M9">
        <v>0.82661244719326188</v>
      </c>
      <c r="N9">
        <v>0.799821527671851</v>
      </c>
      <c r="O9">
        <v>0.78760121581636522</v>
      </c>
      <c r="P9">
        <v>0.80414973033566128</v>
      </c>
      <c r="Q9">
        <v>0.50416901374078771</v>
      </c>
      <c r="R9">
        <v>0.5661749524635542</v>
      </c>
      <c r="S9">
        <v>0.34139960896346039</v>
      </c>
      <c r="T9">
        <v>0.53224056048249724</v>
      </c>
      <c r="U9">
        <v>0.54726800738135173</v>
      </c>
      <c r="V9">
        <v>0.37027957227608849</v>
      </c>
      <c r="W9">
        <v>0.47702723143032355</v>
      </c>
      <c r="X9">
        <v>0.69178843078861008</v>
      </c>
      <c r="Y9">
        <v>9.1883560669433886E-2</v>
      </c>
      <c r="Z9">
        <v>0.24349138383931276</v>
      </c>
      <c r="AA9">
        <v>0.71096282854583503</v>
      </c>
      <c r="AB9">
        <v>0.58448044917227204</v>
      </c>
      <c r="AC9">
        <v>0.61528029324259192</v>
      </c>
      <c r="AD9">
        <v>0.59627108392673067</v>
      </c>
      <c r="AE9">
        <v>0.52588736059279939</v>
      </c>
    </row>
    <row r="10" spans="1:31" x14ac:dyDescent="0.25">
      <c r="A10" s="11">
        <v>8</v>
      </c>
      <c r="B10">
        <v>1.0819018002784226</v>
      </c>
      <c r="C10">
        <v>1.0172905970797361</v>
      </c>
      <c r="D10">
        <v>0.84724545400532669</v>
      </c>
      <c r="E10">
        <v>0.87147006860216447</v>
      </c>
      <c r="F10">
        <v>1.0219832291647453</v>
      </c>
      <c r="G10">
        <v>0.92383515263434468</v>
      </c>
      <c r="H10">
        <v>1.2928233963970841</v>
      </c>
      <c r="I10">
        <v>0.95056323354808137</v>
      </c>
      <c r="J10">
        <v>1.1196731145858529</v>
      </c>
      <c r="K10">
        <v>1.0374900163926324</v>
      </c>
      <c r="L10">
        <v>0.8246459070394534</v>
      </c>
      <c r="M10">
        <v>1.0052455985421211</v>
      </c>
      <c r="N10">
        <v>0.93470773328931311</v>
      </c>
      <c r="O10">
        <v>0.96391291827817016</v>
      </c>
      <c r="P10">
        <v>0.8356134455966604</v>
      </c>
      <c r="Q10">
        <v>0.36298716649487672</v>
      </c>
      <c r="R10">
        <v>0.42952516685135006</v>
      </c>
      <c r="S10">
        <v>0.59291866416177719</v>
      </c>
      <c r="T10">
        <v>0.58542045530412989</v>
      </c>
      <c r="U10">
        <v>0.52207275363882599</v>
      </c>
      <c r="V10">
        <v>0.55342021913226469</v>
      </c>
      <c r="W10">
        <v>0.219525574636386</v>
      </c>
      <c r="X10">
        <v>0.48009328965234693</v>
      </c>
      <c r="Y10">
        <v>0.27789376338505362</v>
      </c>
      <c r="Z10">
        <v>0.38072639849666046</v>
      </c>
      <c r="AA10">
        <v>0.63210929638443092</v>
      </c>
      <c r="AB10">
        <v>0.46595913603365846</v>
      </c>
      <c r="AC10">
        <v>0.5390156535273829</v>
      </c>
      <c r="AD10">
        <v>0.48905237364002047</v>
      </c>
      <c r="AE10">
        <v>0.63711478382016451</v>
      </c>
    </row>
    <row r="11" spans="1:31" x14ac:dyDescent="0.25">
      <c r="A11" s="11">
        <v>9</v>
      </c>
      <c r="B11">
        <v>1.5942309557857615</v>
      </c>
      <c r="C11">
        <v>1.1706908348957534</v>
      </c>
      <c r="D11">
        <v>0.89656103685847843</v>
      </c>
      <c r="E11">
        <v>0.98895420611038232</v>
      </c>
      <c r="F11">
        <v>1.0245562777301858</v>
      </c>
      <c r="G11">
        <v>0.8798867773948722</v>
      </c>
      <c r="H11">
        <v>1.3687663273887061</v>
      </c>
      <c r="I11">
        <v>0.9698939211968407</v>
      </c>
      <c r="J11">
        <v>0.87550125684285385</v>
      </c>
      <c r="K11">
        <v>0.89022472394357621</v>
      </c>
      <c r="L11">
        <v>1.1222508461016711</v>
      </c>
      <c r="M11">
        <v>0.98764173313289572</v>
      </c>
      <c r="N11">
        <v>0.91819147755406483</v>
      </c>
      <c r="O11">
        <v>0.90315207249393126</v>
      </c>
      <c r="P11">
        <v>1.0446448729337801</v>
      </c>
      <c r="Q11">
        <v>2.7063492796845241E-2</v>
      </c>
      <c r="R11">
        <v>0.16009460967273093</v>
      </c>
      <c r="S11">
        <v>0.43824581528843048</v>
      </c>
      <c r="T11">
        <v>0.30284745081031417</v>
      </c>
      <c r="U11">
        <v>0.29412881496903587</v>
      </c>
      <c r="V11">
        <v>0.62716928574915876</v>
      </c>
      <c r="W11">
        <v>0.14482373461248202</v>
      </c>
      <c r="X11">
        <v>0.35444700166911847</v>
      </c>
      <c r="Y11">
        <v>0.5733829193618355</v>
      </c>
      <c r="Z11">
        <v>0.52007589649282515</v>
      </c>
      <c r="AA11">
        <v>0.19928169874328902</v>
      </c>
      <c r="AB11">
        <v>0.3117949016596111</v>
      </c>
      <c r="AC11">
        <v>0.40582867845407133</v>
      </c>
      <c r="AD11">
        <v>0.43294390757182694</v>
      </c>
      <c r="AE11">
        <v>0.26783019826389598</v>
      </c>
    </row>
    <row r="12" spans="1:31" x14ac:dyDescent="0.25">
      <c r="A12" s="14">
        <v>10</v>
      </c>
      <c r="B12">
        <v>0.891411110662234</v>
      </c>
      <c r="C12">
        <v>0.85620952359498426</v>
      </c>
      <c r="D12">
        <v>0.93107911479019878</v>
      </c>
      <c r="E12">
        <v>1.653404490665549</v>
      </c>
      <c r="F12">
        <v>0.86850801547279932</v>
      </c>
      <c r="G12">
        <v>1.0975562317702134</v>
      </c>
      <c r="H12">
        <v>1.2497655762868758</v>
      </c>
      <c r="I12">
        <v>0.67703988065696685</v>
      </c>
      <c r="J12">
        <v>0.88705297537698768</v>
      </c>
      <c r="K12">
        <v>1.1448636799529162</v>
      </c>
      <c r="L12">
        <v>0.55515305317143249</v>
      </c>
      <c r="M12">
        <v>0.54206677727671759</v>
      </c>
      <c r="N12">
        <v>0.38285481400188331</v>
      </c>
      <c r="O12">
        <v>0.74303551878757224</v>
      </c>
      <c r="P12">
        <v>0.75653729961611715</v>
      </c>
      <c r="Q12">
        <v>0.64269927265031968</v>
      </c>
      <c r="R12">
        <v>0.41832893325861731</v>
      </c>
      <c r="S12">
        <v>0.4772338818252666</v>
      </c>
      <c r="T12">
        <v>0.23194006125285338</v>
      </c>
      <c r="U12">
        <v>0.69230993603411339</v>
      </c>
      <c r="V12">
        <v>0.33565935904736321</v>
      </c>
      <c r="W12">
        <v>0.19051449015720318</v>
      </c>
      <c r="X12">
        <v>0.6049338108723864</v>
      </c>
      <c r="Y12">
        <v>0.52176588229711207</v>
      </c>
      <c r="Z12">
        <v>0.16689560723256971</v>
      </c>
      <c r="AA12">
        <v>0.70835286957405941</v>
      </c>
      <c r="AB12">
        <v>0.72441737730254607</v>
      </c>
      <c r="AC12">
        <v>0.86467273331888772</v>
      </c>
      <c r="AD12">
        <v>0.53757325437204539</v>
      </c>
      <c r="AE12">
        <v>0.67461917511659508</v>
      </c>
    </row>
    <row r="14" spans="1:31" x14ac:dyDescent="0.25">
      <c r="A14" t="s">
        <v>17</v>
      </c>
      <c r="B14">
        <f>AVERAGE(B3:B12)</f>
        <v>1.0731610544550931</v>
      </c>
      <c r="C14">
        <f t="shared" ref="C14:AE14" si="0">AVERAGE(C3:C12)</f>
        <v>1.0081377569860153</v>
      </c>
      <c r="D14">
        <f t="shared" si="0"/>
        <v>0.92808164125270376</v>
      </c>
      <c r="E14">
        <f t="shared" si="0"/>
        <v>1.0630389706881038</v>
      </c>
      <c r="F14">
        <f t="shared" si="0"/>
        <v>1.052145793224124</v>
      </c>
      <c r="G14">
        <f t="shared" si="0"/>
        <v>1.0197707020449169</v>
      </c>
      <c r="H14">
        <f t="shared" si="0"/>
        <v>1.0946471684715773</v>
      </c>
      <c r="I14">
        <f t="shared" si="0"/>
        <v>0.94232161067301656</v>
      </c>
      <c r="J14">
        <f t="shared" si="0"/>
        <v>1.0600716631814984</v>
      </c>
      <c r="K14">
        <f t="shared" si="0"/>
        <v>1.0648517982686134</v>
      </c>
      <c r="L14">
        <f t="shared" si="0"/>
        <v>0.89775004995576801</v>
      </c>
      <c r="M14">
        <f t="shared" si="0"/>
        <v>0.9539917920675427</v>
      </c>
      <c r="N14">
        <f t="shared" si="0"/>
        <v>0.89907262365642659</v>
      </c>
      <c r="O14">
        <f t="shared" si="0"/>
        <v>0.89759131878308518</v>
      </c>
      <c r="P14">
        <f t="shared" si="0"/>
        <v>0.95284972548080393</v>
      </c>
      <c r="Q14">
        <f t="shared" si="0"/>
        <v>0.49278012387797254</v>
      </c>
      <c r="R14">
        <f t="shared" si="0"/>
        <v>0.46892032834101338</v>
      </c>
      <c r="S14">
        <f t="shared" si="0"/>
        <v>0.56452203352783525</v>
      </c>
      <c r="T14">
        <f t="shared" si="0"/>
        <v>0.48186621785668127</v>
      </c>
      <c r="U14">
        <f t="shared" si="0"/>
        <v>0.55596850546173127</v>
      </c>
      <c r="V14">
        <f t="shared" si="0"/>
        <v>0.53669592685291168</v>
      </c>
      <c r="W14">
        <f t="shared" si="0"/>
        <v>0.42996018515037548</v>
      </c>
      <c r="X14">
        <f t="shared" si="0"/>
        <v>0.53830767672679214</v>
      </c>
      <c r="Y14">
        <f t="shared" si="0"/>
        <v>0.46939644224187382</v>
      </c>
      <c r="Z14">
        <f t="shared" si="0"/>
        <v>0.45543909803065397</v>
      </c>
      <c r="AA14">
        <f t="shared" si="0"/>
        <v>0.58335567682398315</v>
      </c>
      <c r="AB14">
        <f t="shared" si="0"/>
        <v>0.52502763836904076</v>
      </c>
      <c r="AC14">
        <f t="shared" si="0"/>
        <v>0.58001350518120265</v>
      </c>
      <c r="AD14">
        <f t="shared" si="0"/>
        <v>0.58550377689150479</v>
      </c>
      <c r="AE14">
        <f t="shared" si="0"/>
        <v>0.54707349847147269</v>
      </c>
    </row>
    <row r="15" spans="1:31" x14ac:dyDescent="0.25">
      <c r="A15" t="s">
        <v>19</v>
      </c>
      <c r="B15">
        <f>MEDIAN(B3:B12)</f>
        <v>1.0121724595721728</v>
      </c>
      <c r="C15">
        <f t="shared" ref="C15:AE15" si="1">MEDIAN(C3:C12)</f>
        <v>1.0181342006992609</v>
      </c>
      <c r="D15">
        <f t="shared" si="1"/>
        <v>0.93775772936154689</v>
      </c>
      <c r="E15">
        <f t="shared" si="1"/>
        <v>0.99631484100647616</v>
      </c>
      <c r="F15">
        <f t="shared" si="1"/>
        <v>1.0232697534474655</v>
      </c>
      <c r="G15">
        <f t="shared" si="1"/>
        <v>0.98308142784489172</v>
      </c>
      <c r="H15">
        <f t="shared" si="1"/>
        <v>1.1627792963122308</v>
      </c>
      <c r="I15">
        <f t="shared" si="1"/>
        <v>0.96022857737246103</v>
      </c>
      <c r="J15">
        <f t="shared" si="1"/>
        <v>1.038235276916788</v>
      </c>
      <c r="K15">
        <f t="shared" si="1"/>
        <v>1.0468901096292895</v>
      </c>
      <c r="L15">
        <f t="shared" si="1"/>
        <v>0.86803741129413714</v>
      </c>
      <c r="M15">
        <f t="shared" si="1"/>
        <v>0.99214606932696703</v>
      </c>
      <c r="N15">
        <f t="shared" si="1"/>
        <v>0.92644960542168897</v>
      </c>
      <c r="O15">
        <f t="shared" si="1"/>
        <v>0.9228873849808068</v>
      </c>
      <c r="P15">
        <f t="shared" si="1"/>
        <v>0.95686392693405331</v>
      </c>
      <c r="Q15">
        <f t="shared" si="1"/>
        <v>0.55440448260520014</v>
      </c>
      <c r="R15">
        <f t="shared" si="1"/>
        <v>0.45965097174000641</v>
      </c>
      <c r="S15">
        <f t="shared" si="1"/>
        <v>0.59281299284342204</v>
      </c>
      <c r="T15">
        <f t="shared" si="1"/>
        <v>0.49169785901777713</v>
      </c>
      <c r="U15">
        <f t="shared" si="1"/>
        <v>0.57288620832032178</v>
      </c>
      <c r="V15">
        <f t="shared" si="1"/>
        <v>0.58177578980927502</v>
      </c>
      <c r="W15">
        <f t="shared" si="1"/>
        <v>0.40622972694943282</v>
      </c>
      <c r="X15">
        <f t="shared" si="1"/>
        <v>0.54425360202489559</v>
      </c>
      <c r="Y15">
        <f t="shared" si="1"/>
        <v>0.51793302032284128</v>
      </c>
      <c r="Z15">
        <f t="shared" si="1"/>
        <v>0.47274438854825962</v>
      </c>
      <c r="AA15">
        <f t="shared" si="1"/>
        <v>0.61851352944731364</v>
      </c>
      <c r="AB15">
        <f t="shared" si="1"/>
        <v>0.53916300274956486</v>
      </c>
      <c r="AC15">
        <f t="shared" si="1"/>
        <v>0.57676733684450632</v>
      </c>
      <c r="AD15">
        <f t="shared" si="1"/>
        <v>0.61401626947077037</v>
      </c>
      <c r="AE15">
        <f t="shared" si="1"/>
        <v>0.56706984881288425</v>
      </c>
    </row>
  </sheetData>
  <mergeCells count="2">
    <mergeCell ref="B1:P1"/>
    <mergeCell ref="Q1:A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"/>
  <sheetViews>
    <sheetView zoomScale="90" zoomScaleNormal="90" workbookViewId="0">
      <selection activeCell="N25" sqref="N25"/>
    </sheetView>
  </sheetViews>
  <sheetFormatPr defaultRowHeight="15" x14ac:dyDescent="0.25"/>
  <sheetData>
    <row r="1" spans="1:31" x14ac:dyDescent="0.25">
      <c r="A1" s="10"/>
      <c r="B1" s="29" t="s">
        <v>0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  <c r="Q1" s="31" t="s">
        <v>1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30"/>
    </row>
    <row r="2" spans="1:31" x14ac:dyDescent="0.25">
      <c r="A2" s="11"/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3" t="s">
        <v>16</v>
      </c>
      <c r="Q2" s="7" t="s">
        <v>2</v>
      </c>
      <c r="R2" s="8" t="s">
        <v>3</v>
      </c>
      <c r="S2" s="8" t="s">
        <v>4</v>
      </c>
      <c r="T2" s="8" t="s">
        <v>5</v>
      </c>
      <c r="U2" s="8" t="s">
        <v>6</v>
      </c>
      <c r="V2" s="8" t="s">
        <v>7</v>
      </c>
      <c r="W2" s="8" t="s">
        <v>8</v>
      </c>
      <c r="X2" s="8" t="s">
        <v>9</v>
      </c>
      <c r="Y2" s="8" t="s">
        <v>10</v>
      </c>
      <c r="Z2" s="8" t="s">
        <v>11</v>
      </c>
      <c r="AA2" s="8" t="s">
        <v>12</v>
      </c>
      <c r="AB2" s="8" t="s">
        <v>13</v>
      </c>
      <c r="AC2" s="8" t="s">
        <v>14</v>
      </c>
      <c r="AD2" s="8" t="s">
        <v>15</v>
      </c>
      <c r="AE2" s="9" t="s">
        <v>16</v>
      </c>
    </row>
    <row r="3" spans="1:31" x14ac:dyDescent="0.25">
      <c r="A3" s="11">
        <v>1</v>
      </c>
      <c r="B3">
        <v>0.92342381563563936</v>
      </c>
      <c r="C3">
        <v>0.70848735586582623</v>
      </c>
      <c r="D3">
        <v>0.70219521383830052</v>
      </c>
      <c r="E3">
        <v>0.83636986838713678</v>
      </c>
      <c r="F3">
        <v>0.99654665686752142</v>
      </c>
      <c r="G3">
        <v>0.72105082462877268</v>
      </c>
      <c r="H3">
        <v>0.92793219747159328</v>
      </c>
      <c r="I3">
        <v>0.96314986718924833</v>
      </c>
      <c r="J3">
        <v>1.0350280568625503</v>
      </c>
      <c r="K3">
        <v>1.0333466121025172</v>
      </c>
      <c r="L3">
        <v>0.80210596742060825</v>
      </c>
      <c r="M3">
        <v>0.85929652976747006</v>
      </c>
      <c r="N3">
        <v>0.80423097066483329</v>
      </c>
      <c r="O3">
        <v>0.67022914689163071</v>
      </c>
      <c r="P3">
        <v>0.6586935065554641</v>
      </c>
      <c r="Q3">
        <v>0.62559426913276517</v>
      </c>
      <c r="R3">
        <v>0.80232172192303375</v>
      </c>
      <c r="S3">
        <v>0.81330341429410202</v>
      </c>
      <c r="T3">
        <v>0.70823314632625678</v>
      </c>
      <c r="U3">
        <v>0.73611109758616444</v>
      </c>
      <c r="V3">
        <v>0.80202297768114528</v>
      </c>
      <c r="W3">
        <v>0.65124855665730119</v>
      </c>
      <c r="X3">
        <v>0.67530607191262793</v>
      </c>
      <c r="Y3">
        <v>0.58677030689140797</v>
      </c>
      <c r="Z3">
        <v>0.5737961381715212</v>
      </c>
      <c r="AA3">
        <v>0.7177476642063978</v>
      </c>
      <c r="AB3">
        <v>0.66908135162128934</v>
      </c>
      <c r="AC3">
        <v>0.71407606914225386</v>
      </c>
      <c r="AD3">
        <v>0.85373326699416718</v>
      </c>
      <c r="AE3">
        <v>0.86603999667989062</v>
      </c>
    </row>
    <row r="4" spans="1:31" x14ac:dyDescent="0.25">
      <c r="A4" s="11">
        <v>2</v>
      </c>
      <c r="B4">
        <v>1.2412726140011845</v>
      </c>
      <c r="C4">
        <v>0.98740123687300163</v>
      </c>
      <c r="D4">
        <v>0.97283036865302641</v>
      </c>
      <c r="E4">
        <v>0.99782929176926349</v>
      </c>
      <c r="F4">
        <v>1.0351967585675439</v>
      </c>
      <c r="G4">
        <v>0.98012485715218123</v>
      </c>
      <c r="H4">
        <v>1.2278369618190357</v>
      </c>
      <c r="I4">
        <v>0.93826222347486643</v>
      </c>
      <c r="J4">
        <v>0.99616140915302986</v>
      </c>
      <c r="K4">
        <v>1.0108153512496731</v>
      </c>
      <c r="L4">
        <v>0.90387470007453652</v>
      </c>
      <c r="M4">
        <v>1.0079899278534483</v>
      </c>
      <c r="N4">
        <v>1.0148943230508454</v>
      </c>
      <c r="O4">
        <v>0.95320952382507884</v>
      </c>
      <c r="P4">
        <v>1.0879902864998383</v>
      </c>
      <c r="Q4">
        <v>0.19933443831742864</v>
      </c>
      <c r="R4">
        <v>0.34441655964148504</v>
      </c>
      <c r="S4">
        <v>0.38327201631680402</v>
      </c>
      <c r="T4">
        <v>0.33821772584927506</v>
      </c>
      <c r="U4">
        <v>0.33758381367668566</v>
      </c>
      <c r="V4">
        <v>0.36180162447475039</v>
      </c>
      <c r="W4">
        <v>0.13196714695309944</v>
      </c>
      <c r="X4">
        <v>0.42789606238862066</v>
      </c>
      <c r="Y4">
        <v>0.38108540303918348</v>
      </c>
      <c r="Z4">
        <v>0.35346299443686557</v>
      </c>
      <c r="AA4">
        <v>0.48387840852904562</v>
      </c>
      <c r="AB4">
        <v>0.33323312595442606</v>
      </c>
      <c r="AC4">
        <v>0.3148927747355767</v>
      </c>
      <c r="AD4">
        <v>0.38863232920276047</v>
      </c>
      <c r="AE4">
        <v>0.21158996585304479</v>
      </c>
    </row>
    <row r="5" spans="1:31" x14ac:dyDescent="0.25">
      <c r="A5" s="11">
        <v>3</v>
      </c>
      <c r="B5">
        <v>1.1997805230061231</v>
      </c>
      <c r="C5">
        <v>1.1918440804644514</v>
      </c>
      <c r="D5">
        <v>1.1879638339307887</v>
      </c>
      <c r="E5">
        <v>1.1106129809866609</v>
      </c>
      <c r="F5">
        <v>1.157835639075705</v>
      </c>
      <c r="G5">
        <v>1.051660865952774</v>
      </c>
      <c r="H5">
        <v>1.4764633718565194</v>
      </c>
      <c r="I5">
        <v>1.2777859457189702</v>
      </c>
      <c r="J5">
        <v>1.4006779644732761</v>
      </c>
      <c r="K5">
        <v>1.3632811515091645</v>
      </c>
      <c r="L5">
        <v>1.28258989242128</v>
      </c>
      <c r="M5">
        <v>1.1048359842347641</v>
      </c>
      <c r="N5">
        <v>1.041405265296258</v>
      </c>
      <c r="O5">
        <v>1.2382557408084784</v>
      </c>
      <c r="P5">
        <v>1.1331009993273395</v>
      </c>
      <c r="Q5">
        <v>0.18678854613070597</v>
      </c>
      <c r="R5">
        <v>0.20768137192956693</v>
      </c>
      <c r="S5">
        <v>0.14587112131990454</v>
      </c>
      <c r="T5">
        <v>0.22578607644153159</v>
      </c>
      <c r="U5">
        <v>0.21068542312364869</v>
      </c>
      <c r="V5">
        <v>0.29355979826545181</v>
      </c>
      <c r="W5">
        <v>6.3295190639876459E-2</v>
      </c>
      <c r="X5">
        <v>8.1381515668068241E-2</v>
      </c>
      <c r="Y5">
        <v>6.763877983344567E-2</v>
      </c>
      <c r="Z5">
        <v>6.0946045906569865E-2</v>
      </c>
      <c r="AA5">
        <v>0.1394886849092658</v>
      </c>
      <c r="AB5">
        <v>0.32991815619490511</v>
      </c>
      <c r="AC5">
        <v>0.40802823845539016</v>
      </c>
      <c r="AD5">
        <v>0.16680300317096855</v>
      </c>
      <c r="AE5">
        <v>0.31409447526737827</v>
      </c>
    </row>
    <row r="6" spans="1:31" x14ac:dyDescent="0.25">
      <c r="A6" s="11">
        <v>4</v>
      </c>
      <c r="B6">
        <v>0.89450820867497716</v>
      </c>
      <c r="C6">
        <v>0.91828208166113989</v>
      </c>
      <c r="D6">
        <v>0.77885074137394905</v>
      </c>
      <c r="E6">
        <v>0.85732283190464487</v>
      </c>
      <c r="F6">
        <v>0.86754409614968087</v>
      </c>
      <c r="G6">
        <v>0.83934488383858041</v>
      </c>
      <c r="H6">
        <v>1.0156995714341424</v>
      </c>
      <c r="I6">
        <v>0.82438785370317869</v>
      </c>
      <c r="J6">
        <v>0.83291789498745517</v>
      </c>
      <c r="K6">
        <v>0.75540719306951731</v>
      </c>
      <c r="L6">
        <v>0.87611572864100917</v>
      </c>
      <c r="M6">
        <v>0.95457550025901572</v>
      </c>
      <c r="N6">
        <v>0.88806852573994366</v>
      </c>
      <c r="O6">
        <v>0.8190602875917723</v>
      </c>
      <c r="P6">
        <v>0.82483081010183534</v>
      </c>
      <c r="Q6">
        <v>0.40992425380456871</v>
      </c>
      <c r="R6">
        <v>0.35562173899973148</v>
      </c>
      <c r="S6">
        <v>0.50073299013360817</v>
      </c>
      <c r="T6">
        <v>0.39759817271322712</v>
      </c>
      <c r="U6">
        <v>0.42552501230342221</v>
      </c>
      <c r="V6">
        <v>0.42790775580125967</v>
      </c>
      <c r="W6">
        <v>0.32612752990392913</v>
      </c>
      <c r="X6">
        <v>0.43318309102838565</v>
      </c>
      <c r="Y6">
        <v>0.49070048986033271</v>
      </c>
      <c r="Z6">
        <v>0.58914174825970478</v>
      </c>
      <c r="AA6">
        <v>0.49871396416619501</v>
      </c>
      <c r="AB6">
        <v>0.27696234027664585</v>
      </c>
      <c r="AC6">
        <v>0.39056315217772347</v>
      </c>
      <c r="AD6">
        <v>0.45744275291014502</v>
      </c>
      <c r="AE6">
        <v>0.43527570790237818</v>
      </c>
    </row>
    <row r="7" spans="1:31" x14ac:dyDescent="0.25">
      <c r="A7" s="11">
        <v>5</v>
      </c>
      <c r="B7">
        <v>0.74639797033860122</v>
      </c>
      <c r="C7">
        <v>0.73504496106763195</v>
      </c>
      <c r="D7">
        <v>0.73312485153007867</v>
      </c>
      <c r="E7">
        <v>0.87271677552089222</v>
      </c>
      <c r="F7">
        <v>0.94408188127487125</v>
      </c>
      <c r="G7">
        <v>0.8198543519857151</v>
      </c>
      <c r="H7">
        <v>1.221585298632512</v>
      </c>
      <c r="I7">
        <v>0.72450672874722155</v>
      </c>
      <c r="J7">
        <v>0.97773623184139846</v>
      </c>
      <c r="K7">
        <v>0.95022475644423199</v>
      </c>
      <c r="L7">
        <v>0.76713936604379995</v>
      </c>
      <c r="M7">
        <v>0.83097977938841372</v>
      </c>
      <c r="N7">
        <v>0.80878927526174382</v>
      </c>
      <c r="O7">
        <v>0.73317951115569246</v>
      </c>
      <c r="P7">
        <v>0.65857127269206794</v>
      </c>
      <c r="Q7">
        <v>0.30487322055215194</v>
      </c>
      <c r="R7">
        <v>0.49920188561738782</v>
      </c>
      <c r="S7">
        <v>0.3793218596902162</v>
      </c>
      <c r="T7">
        <v>0.47021182253123839</v>
      </c>
      <c r="U7">
        <v>0.44016079650716466</v>
      </c>
      <c r="V7">
        <v>0.45058001120033159</v>
      </c>
      <c r="W7">
        <v>0.12991872428710324</v>
      </c>
      <c r="X7">
        <v>0.29427681173887538</v>
      </c>
      <c r="Y7">
        <v>0.21477119436195438</v>
      </c>
      <c r="Z7">
        <v>0.20156826907358305</v>
      </c>
      <c r="AA7">
        <v>0.48602269444772517</v>
      </c>
      <c r="AB7">
        <v>0.45293436449842644</v>
      </c>
      <c r="AC7">
        <v>0.41363155589805017</v>
      </c>
      <c r="AD7">
        <v>0.48629216001912612</v>
      </c>
      <c r="AE7">
        <v>0.4826499816460243</v>
      </c>
    </row>
    <row r="8" spans="1:31" x14ac:dyDescent="0.25">
      <c r="A8" s="11">
        <v>6</v>
      </c>
      <c r="B8">
        <v>1.3782157305601386</v>
      </c>
      <c r="C8">
        <v>0.7548386105628252</v>
      </c>
      <c r="D8">
        <v>1.0550775213680588</v>
      </c>
      <c r="E8">
        <v>0.74630299574273673</v>
      </c>
      <c r="F8">
        <v>1.2630205591579853</v>
      </c>
      <c r="G8">
        <v>0.83804041320789924</v>
      </c>
      <c r="H8">
        <v>0.82351052365442401</v>
      </c>
      <c r="I8">
        <v>1.4042057265707484</v>
      </c>
      <c r="J8">
        <v>1.2327818881327577</v>
      </c>
      <c r="K8">
        <v>1.1633525112397505</v>
      </c>
      <c r="L8">
        <v>0.73860664060620473</v>
      </c>
      <c r="M8">
        <v>0.83203746449413762</v>
      </c>
      <c r="N8">
        <v>0.75215406520821904</v>
      </c>
      <c r="O8">
        <v>0.68433545625427727</v>
      </c>
      <c r="P8">
        <v>0.81565497534895237</v>
      </c>
      <c r="Q8">
        <v>0.63207095190830487</v>
      </c>
      <c r="R8">
        <v>0.87263205069824701</v>
      </c>
      <c r="S8">
        <v>0.82968291037266106</v>
      </c>
      <c r="T8">
        <v>0.8498216342719036</v>
      </c>
      <c r="U8">
        <v>0.906241277484094</v>
      </c>
      <c r="V8">
        <v>0.83767095755110454</v>
      </c>
      <c r="W8">
        <v>0.82598840591568756</v>
      </c>
      <c r="X8">
        <v>0.61761401903945901</v>
      </c>
      <c r="Y8">
        <v>0.77602099312404116</v>
      </c>
      <c r="Z8">
        <v>0.82783275536057654</v>
      </c>
      <c r="AA8">
        <v>0.90224702293735115</v>
      </c>
      <c r="AB8">
        <v>0.90237865319165822</v>
      </c>
      <c r="AC8">
        <v>0.92050245153018784</v>
      </c>
      <c r="AD8">
        <v>0.90116141812999118</v>
      </c>
      <c r="AE8">
        <v>0.84020412232122577</v>
      </c>
    </row>
    <row r="9" spans="1:31" x14ac:dyDescent="0.25">
      <c r="A9" s="11">
        <v>7</v>
      </c>
      <c r="B9">
        <v>0.93210700905140198</v>
      </c>
      <c r="C9">
        <v>0.97340405947577413</v>
      </c>
      <c r="D9">
        <v>1.0204756497225123</v>
      </c>
      <c r="E9">
        <v>1.0290558393951061</v>
      </c>
      <c r="F9">
        <v>1.1102130595972333</v>
      </c>
      <c r="G9">
        <v>1.0166402885930204</v>
      </c>
      <c r="H9">
        <v>1.0528525045918113</v>
      </c>
      <c r="I9">
        <v>0.98018457577778006</v>
      </c>
      <c r="J9">
        <v>1.064880494854626</v>
      </c>
      <c r="K9">
        <v>1.0720712606834182</v>
      </c>
      <c r="L9">
        <v>1.0212931146293165</v>
      </c>
      <c r="M9">
        <v>1.0684227562840782</v>
      </c>
      <c r="N9">
        <v>1.0505199465887516</v>
      </c>
      <c r="O9">
        <v>0.89229541507563503</v>
      </c>
      <c r="P9">
        <v>0.89899098058972005</v>
      </c>
      <c r="Q9">
        <v>0.68777701905966149</v>
      </c>
      <c r="R9">
        <v>0.58095747909945517</v>
      </c>
      <c r="S9">
        <v>0.55092677291632519</v>
      </c>
      <c r="T9">
        <v>0.54943692627553598</v>
      </c>
      <c r="U9">
        <v>0.59201883966946689</v>
      </c>
      <c r="V9">
        <v>0.57769060869394784</v>
      </c>
      <c r="W9">
        <v>0.58156508597802792</v>
      </c>
      <c r="X9">
        <v>0.74449193961310856</v>
      </c>
      <c r="Y9">
        <v>0.54649702360677443</v>
      </c>
      <c r="Z9">
        <v>0.57887047958195248</v>
      </c>
      <c r="AA9">
        <v>0.58671326912530164</v>
      </c>
      <c r="AB9">
        <v>0.54389947731013577</v>
      </c>
      <c r="AC9">
        <v>0.53256275713427992</v>
      </c>
      <c r="AD9">
        <v>0.64785139892856414</v>
      </c>
      <c r="AE9">
        <v>0.65391014053725049</v>
      </c>
    </row>
    <row r="10" spans="1:31" x14ac:dyDescent="0.25">
      <c r="A10" s="11">
        <v>8</v>
      </c>
      <c r="B10">
        <v>1.2844552972964842</v>
      </c>
      <c r="C10">
        <v>0.9391827497168852</v>
      </c>
      <c r="D10">
        <v>1.0827652134513315</v>
      </c>
      <c r="E10">
        <v>0.93239120993616775</v>
      </c>
      <c r="F10">
        <v>1.1148621630917499</v>
      </c>
      <c r="G10">
        <v>0.96248713028239019</v>
      </c>
      <c r="H10">
        <v>1.1905399732277593</v>
      </c>
      <c r="I10">
        <v>0.87273275493616109</v>
      </c>
      <c r="J10">
        <v>1.153456656815204</v>
      </c>
      <c r="K10">
        <v>1.2191447944488352</v>
      </c>
      <c r="L10">
        <v>1.110567802850035</v>
      </c>
      <c r="M10">
        <v>1.0122862180145269</v>
      </c>
      <c r="N10">
        <v>1.0163941897719</v>
      </c>
      <c r="O10">
        <v>0.8987524642021637</v>
      </c>
      <c r="P10">
        <v>0.96362704271010913</v>
      </c>
      <c r="Q10">
        <v>0.27397245709545348</v>
      </c>
      <c r="R10">
        <v>0.62491859799810612</v>
      </c>
      <c r="S10">
        <v>0.41786969546363883</v>
      </c>
      <c r="T10">
        <v>0.60285333335729285</v>
      </c>
      <c r="U10">
        <v>0.62268569289649278</v>
      </c>
      <c r="V10">
        <v>0.67292346496632682</v>
      </c>
      <c r="W10">
        <v>0.44756156633037558</v>
      </c>
      <c r="X10">
        <v>0.67185507151352408</v>
      </c>
      <c r="Y10">
        <v>0.37407359328688761</v>
      </c>
      <c r="Z10">
        <v>0.26405770451526839</v>
      </c>
      <c r="AA10">
        <v>0.38118395194048021</v>
      </c>
      <c r="AB10">
        <v>0.53645479085233949</v>
      </c>
      <c r="AC10">
        <v>0.52703827887454813</v>
      </c>
      <c r="AD10">
        <v>0.70768971956499604</v>
      </c>
      <c r="AE10">
        <v>0.54478842041460629</v>
      </c>
    </row>
    <row r="11" spans="1:31" x14ac:dyDescent="0.25">
      <c r="A11" s="11">
        <v>9</v>
      </c>
      <c r="B11">
        <v>0.85668336625602226</v>
      </c>
      <c r="C11">
        <v>0.82568662627208844</v>
      </c>
      <c r="D11">
        <v>1.1599175837849431</v>
      </c>
      <c r="E11">
        <v>0.79434137367276392</v>
      </c>
      <c r="F11">
        <v>1.0202926131458565</v>
      </c>
      <c r="G11">
        <v>0.94173821491126186</v>
      </c>
      <c r="H11">
        <v>0.57413575354810475</v>
      </c>
      <c r="I11">
        <v>1.0229696965208697</v>
      </c>
      <c r="J11">
        <v>1.0392171197493252</v>
      </c>
      <c r="K11">
        <v>1.0047739013963126</v>
      </c>
      <c r="L11">
        <v>1.0169905390238807</v>
      </c>
      <c r="M11">
        <v>0.86426162173026833</v>
      </c>
      <c r="N11">
        <v>0.84118761295083089</v>
      </c>
      <c r="O11">
        <v>0.82615508777453528</v>
      </c>
      <c r="P11">
        <v>0.77404643159368469</v>
      </c>
      <c r="Q11">
        <v>0.64371882832593086</v>
      </c>
      <c r="R11">
        <v>0.6232912784812269</v>
      </c>
      <c r="S11">
        <v>0.22607791196269958</v>
      </c>
      <c r="T11">
        <v>0.59532313993781927</v>
      </c>
      <c r="U11">
        <v>0.38934283903423439</v>
      </c>
      <c r="V11">
        <v>0.41916757291670059</v>
      </c>
      <c r="W11">
        <v>0.81739959229073245</v>
      </c>
      <c r="X11">
        <v>0.32610162113843377</v>
      </c>
      <c r="Y11">
        <v>0.28774767547515712</v>
      </c>
      <c r="Z11">
        <v>0.37496639459844083</v>
      </c>
      <c r="AA11">
        <v>0.39267518345434888</v>
      </c>
      <c r="AB11">
        <v>0.54105730835116927</v>
      </c>
      <c r="AC11">
        <v>0.63191353012087137</v>
      </c>
      <c r="AD11">
        <v>0.59401622850992009</v>
      </c>
      <c r="AE11">
        <v>0.62688046993512603</v>
      </c>
    </row>
    <row r="12" spans="1:31" x14ac:dyDescent="0.25">
      <c r="A12" s="14">
        <v>10</v>
      </c>
      <c r="B12">
        <v>2.4875312691941462</v>
      </c>
      <c r="C12">
        <v>1.4357780444914121</v>
      </c>
      <c r="D12">
        <v>1.7084130335676539</v>
      </c>
      <c r="E12">
        <v>1.2997220429770422</v>
      </c>
      <c r="F12">
        <v>1.6270587608281852</v>
      </c>
      <c r="G12">
        <v>0.99781091843152658</v>
      </c>
      <c r="H12">
        <v>1.345077597369231</v>
      </c>
      <c r="I12">
        <v>1.3305952261617415</v>
      </c>
      <c r="J12">
        <v>1.3241286970712414</v>
      </c>
      <c r="K12">
        <v>1.245048566278641</v>
      </c>
      <c r="L12">
        <v>1.3295398481462799</v>
      </c>
      <c r="M12">
        <v>1.2831802948586362</v>
      </c>
      <c r="N12">
        <v>1.1937798703916618</v>
      </c>
      <c r="O12">
        <v>1.1337173577552666</v>
      </c>
      <c r="P12">
        <v>1.0999005496243739</v>
      </c>
      <c r="Q12">
        <v>4.0611707334929498E-3</v>
      </c>
      <c r="R12">
        <v>0.433408857795053</v>
      </c>
      <c r="S12">
        <v>0.14051633532900887</v>
      </c>
      <c r="T12">
        <v>0.48969848088575429</v>
      </c>
      <c r="U12">
        <v>0.19904663734212419</v>
      </c>
      <c r="V12">
        <v>0.72518454971783286</v>
      </c>
      <c r="W12">
        <v>0.45813285922117619</v>
      </c>
      <c r="X12">
        <v>0.46801324563617608</v>
      </c>
      <c r="Y12">
        <v>0.53237560029992437</v>
      </c>
      <c r="Z12">
        <v>0.5670630273750199</v>
      </c>
      <c r="AA12">
        <v>0.4607408123950375</v>
      </c>
      <c r="AB12">
        <v>0.52389452864696884</v>
      </c>
      <c r="AC12">
        <v>0.57029793897840142</v>
      </c>
      <c r="AD12">
        <v>0.60553296080859997</v>
      </c>
      <c r="AE12">
        <v>0.6600007167365658</v>
      </c>
    </row>
    <row r="14" spans="1:31" x14ac:dyDescent="0.25">
      <c r="A14" s="4" t="s">
        <v>17</v>
      </c>
      <c r="B14" s="4">
        <f>AVERAGE(B3:B12)</f>
        <v>1.194437580401472</v>
      </c>
      <c r="C14" s="5">
        <f t="shared" ref="C14:AE14" si="0">AVERAGE(C3:C12)</f>
        <v>0.94699498064510357</v>
      </c>
      <c r="D14" s="5">
        <f t="shared" si="0"/>
        <v>1.0401614011220643</v>
      </c>
      <c r="E14" s="5">
        <f t="shared" si="0"/>
        <v>0.94766652102924154</v>
      </c>
      <c r="F14" s="5">
        <f t="shared" si="0"/>
        <v>1.1136652187756333</v>
      </c>
      <c r="G14" s="5">
        <f t="shared" si="0"/>
        <v>0.91687527489841203</v>
      </c>
      <c r="H14" s="5">
        <f t="shared" si="0"/>
        <v>1.0855633753605134</v>
      </c>
      <c r="I14" s="5">
        <f t="shared" si="0"/>
        <v>1.0338780598800785</v>
      </c>
      <c r="J14" s="5">
        <f t="shared" si="0"/>
        <v>1.1056986413940866</v>
      </c>
      <c r="K14" s="5">
        <f t="shared" si="0"/>
        <v>1.0817466098422062</v>
      </c>
      <c r="L14" s="5">
        <f t="shared" si="0"/>
        <v>0.98488235998569496</v>
      </c>
      <c r="M14" s="5">
        <f t="shared" si="0"/>
        <v>0.98178660768847603</v>
      </c>
      <c r="N14" s="5">
        <f t="shared" si="0"/>
        <v>0.94114240449249886</v>
      </c>
      <c r="O14" s="5">
        <f t="shared" si="0"/>
        <v>0.88491899913345295</v>
      </c>
      <c r="P14" s="6">
        <f t="shared" si="0"/>
        <v>0.8915406855043384</v>
      </c>
      <c r="Q14" s="5">
        <f t="shared" si="0"/>
        <v>0.39681151550604638</v>
      </c>
      <c r="R14" s="5">
        <f t="shared" si="0"/>
        <v>0.53444515421832928</v>
      </c>
      <c r="S14" s="5">
        <f t="shared" si="0"/>
        <v>0.43875750277989684</v>
      </c>
      <c r="T14" s="5">
        <f t="shared" si="0"/>
        <v>0.52271804585898352</v>
      </c>
      <c r="U14" s="5">
        <f t="shared" si="0"/>
        <v>0.48594014296234977</v>
      </c>
      <c r="V14" s="5">
        <f t="shared" si="0"/>
        <v>0.55685093212688508</v>
      </c>
      <c r="W14" s="5">
        <f t="shared" si="0"/>
        <v>0.44332046581773088</v>
      </c>
      <c r="X14" s="5">
        <f t="shared" si="0"/>
        <v>0.47401194496772792</v>
      </c>
      <c r="Y14" s="5">
        <f t="shared" si="0"/>
        <v>0.42576810597791087</v>
      </c>
      <c r="Z14" s="5">
        <f t="shared" si="0"/>
        <v>0.43917055572795027</v>
      </c>
      <c r="AA14" s="5">
        <f t="shared" si="0"/>
        <v>0.50494116561111491</v>
      </c>
      <c r="AB14" s="5">
        <f t="shared" si="0"/>
        <v>0.51098140968979644</v>
      </c>
      <c r="AC14" s="5">
        <f t="shared" si="0"/>
        <v>0.54235067470472842</v>
      </c>
      <c r="AD14" s="5">
        <f t="shared" si="0"/>
        <v>0.58091552382392397</v>
      </c>
      <c r="AE14" s="6">
        <f t="shared" si="0"/>
        <v>0.56354339972934908</v>
      </c>
    </row>
    <row r="15" spans="1:31" x14ac:dyDescent="0.25">
      <c r="A15" s="7" t="s">
        <v>19</v>
      </c>
      <c r="B15" s="7">
        <f>MEDIAN(B3:B12)</f>
        <v>1.0659437660287625</v>
      </c>
      <c r="C15" s="8">
        <f t="shared" ref="C15:AE15" si="1">MEDIAN(C3:C12)</f>
        <v>0.92873241568901255</v>
      </c>
      <c r="D15" s="8">
        <f t="shared" si="1"/>
        <v>1.0377765855452856</v>
      </c>
      <c r="E15" s="8">
        <f t="shared" si="1"/>
        <v>0.90255399272852999</v>
      </c>
      <c r="F15" s="8">
        <f t="shared" si="1"/>
        <v>1.0727049090823886</v>
      </c>
      <c r="G15" s="8">
        <f t="shared" si="1"/>
        <v>0.95211267259682608</v>
      </c>
      <c r="H15" s="8">
        <f t="shared" si="1"/>
        <v>1.1216962389097853</v>
      </c>
      <c r="I15" s="8">
        <f t="shared" si="1"/>
        <v>0.97166722148351425</v>
      </c>
      <c r="J15" s="8">
        <f t="shared" si="1"/>
        <v>1.0520488073019756</v>
      </c>
      <c r="K15" s="8">
        <f t="shared" si="1"/>
        <v>1.0527089363929676</v>
      </c>
      <c r="L15" s="8">
        <f t="shared" si="1"/>
        <v>0.96043261954920855</v>
      </c>
      <c r="M15" s="8">
        <f t="shared" si="1"/>
        <v>0.98128271405623202</v>
      </c>
      <c r="N15" s="8">
        <f t="shared" si="1"/>
        <v>0.95148142439539451</v>
      </c>
      <c r="O15" s="8">
        <f t="shared" si="1"/>
        <v>0.8592252514250851</v>
      </c>
      <c r="P15" s="9">
        <f t="shared" si="1"/>
        <v>0.86191089534577769</v>
      </c>
      <c r="Q15" s="8">
        <f t="shared" si="1"/>
        <v>0.35739873717836035</v>
      </c>
      <c r="R15" s="8">
        <f t="shared" si="1"/>
        <v>0.54007968235842152</v>
      </c>
      <c r="S15" s="8">
        <f t="shared" si="1"/>
        <v>0.40057085589022146</v>
      </c>
      <c r="T15" s="8">
        <f t="shared" si="1"/>
        <v>0.51956770358064519</v>
      </c>
      <c r="U15" s="8">
        <f t="shared" si="1"/>
        <v>0.43284290440529344</v>
      </c>
      <c r="V15" s="8">
        <f t="shared" si="1"/>
        <v>0.51413530994713974</v>
      </c>
      <c r="W15" s="8">
        <f t="shared" si="1"/>
        <v>0.45284721277577589</v>
      </c>
      <c r="X15" s="8">
        <f t="shared" si="1"/>
        <v>0.45059816833228084</v>
      </c>
      <c r="Y15" s="8">
        <f t="shared" si="1"/>
        <v>0.43589294644975807</v>
      </c>
      <c r="Z15" s="8">
        <f t="shared" si="1"/>
        <v>0.47101471098673037</v>
      </c>
      <c r="AA15" s="8">
        <f t="shared" si="1"/>
        <v>0.4849505514883854</v>
      </c>
      <c r="AB15" s="8">
        <f t="shared" si="1"/>
        <v>0.53017465974965416</v>
      </c>
      <c r="AC15" s="8">
        <f t="shared" si="1"/>
        <v>0.52980051800441408</v>
      </c>
      <c r="AD15" s="8">
        <f t="shared" si="1"/>
        <v>0.59977459465926009</v>
      </c>
      <c r="AE15" s="9">
        <f t="shared" si="1"/>
        <v>0.58583444517486616</v>
      </c>
    </row>
  </sheetData>
  <mergeCells count="2">
    <mergeCell ref="B1:P1"/>
    <mergeCell ref="Q1:A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"/>
  <sheetViews>
    <sheetView zoomScale="90" zoomScaleNormal="90" workbookViewId="0">
      <selection activeCell="L31" sqref="L31"/>
    </sheetView>
  </sheetViews>
  <sheetFormatPr defaultRowHeight="15" x14ac:dyDescent="0.25"/>
  <sheetData>
    <row r="1" spans="1:31" x14ac:dyDescent="0.25">
      <c r="A1" s="10"/>
      <c r="B1" s="29" t="s">
        <v>0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  <c r="Q1" s="31" t="s">
        <v>1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30"/>
    </row>
    <row r="2" spans="1:31" x14ac:dyDescent="0.25">
      <c r="A2" s="11"/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3" t="s">
        <v>16</v>
      </c>
      <c r="Q2" s="7" t="s">
        <v>2</v>
      </c>
      <c r="R2" s="8" t="s">
        <v>3</v>
      </c>
      <c r="S2" s="8" t="s">
        <v>4</v>
      </c>
      <c r="T2" s="8" t="s">
        <v>5</v>
      </c>
      <c r="U2" s="8" t="s">
        <v>6</v>
      </c>
      <c r="V2" s="8" t="s">
        <v>7</v>
      </c>
      <c r="W2" s="8" t="s">
        <v>8</v>
      </c>
      <c r="X2" s="8" t="s">
        <v>9</v>
      </c>
      <c r="Y2" s="8" t="s">
        <v>10</v>
      </c>
      <c r="Z2" s="8" t="s">
        <v>11</v>
      </c>
      <c r="AA2" s="8" t="s">
        <v>12</v>
      </c>
      <c r="AB2" s="8" t="s">
        <v>13</v>
      </c>
      <c r="AC2" s="8" t="s">
        <v>14</v>
      </c>
      <c r="AD2" s="8" t="s">
        <v>15</v>
      </c>
      <c r="AE2" s="9" t="s">
        <v>16</v>
      </c>
    </row>
    <row r="3" spans="1:31" x14ac:dyDescent="0.25">
      <c r="A3" s="11">
        <v>1</v>
      </c>
      <c r="B3">
        <v>0.83851552252914985</v>
      </c>
      <c r="C3">
        <v>0.86575329121311073</v>
      </c>
      <c r="D3">
        <v>0.99381741147816816</v>
      </c>
      <c r="E3">
        <v>0.85528462764669744</v>
      </c>
      <c r="F3">
        <v>1.0415156271769281</v>
      </c>
      <c r="G3">
        <v>0.7013216584093207</v>
      </c>
      <c r="H3">
        <v>1.4101064705137814</v>
      </c>
      <c r="I3">
        <v>0.9598913823190709</v>
      </c>
      <c r="J3">
        <v>1.0913300371040757</v>
      </c>
      <c r="K3">
        <v>1.0318738356271646</v>
      </c>
      <c r="L3">
        <v>0.9757019663797617</v>
      </c>
      <c r="M3">
        <v>0.86749925106706383</v>
      </c>
      <c r="N3">
        <v>0.95686053265013504</v>
      </c>
      <c r="O3">
        <v>0.75292805686283859</v>
      </c>
      <c r="P3">
        <v>0.77458994255143365</v>
      </c>
      <c r="Q3">
        <v>0.62760564635583316</v>
      </c>
      <c r="R3">
        <v>0.5607646747081223</v>
      </c>
      <c r="S3">
        <v>0.55014984096787567</v>
      </c>
      <c r="T3">
        <v>0.71737617539734921</v>
      </c>
      <c r="U3">
        <v>0.60576568596606972</v>
      </c>
      <c r="V3">
        <v>0.7538472475445207</v>
      </c>
      <c r="W3">
        <v>0.19808781954383145</v>
      </c>
      <c r="X3">
        <v>0.46663865517097242</v>
      </c>
      <c r="Y3">
        <v>0.34755938690031313</v>
      </c>
      <c r="Z3">
        <v>0.43636745480830841</v>
      </c>
      <c r="AA3">
        <v>0.44647451205475497</v>
      </c>
      <c r="AB3">
        <v>0.61748622955092636</v>
      </c>
      <c r="AC3">
        <v>0.46633172950250534</v>
      </c>
      <c r="AD3">
        <v>0.7370015392750402</v>
      </c>
      <c r="AE3">
        <v>0.68789692684891079</v>
      </c>
    </row>
    <row r="4" spans="1:31" x14ac:dyDescent="0.25">
      <c r="A4" s="11">
        <v>2</v>
      </c>
      <c r="B4">
        <v>1.1979601884644719</v>
      </c>
      <c r="C4">
        <v>0.85256904789421606</v>
      </c>
      <c r="D4">
        <v>0.98747078799434207</v>
      </c>
      <c r="E4">
        <v>0.7238652425226213</v>
      </c>
      <c r="F4">
        <v>1.0407335987575463</v>
      </c>
      <c r="G4">
        <v>0.59283734390738807</v>
      </c>
      <c r="H4">
        <v>0.85300901285825625</v>
      </c>
      <c r="I4">
        <v>1.0558481582752954</v>
      </c>
      <c r="J4">
        <v>1.017453247082841</v>
      </c>
      <c r="K4">
        <v>0.88763878138839047</v>
      </c>
      <c r="L4">
        <v>0.71473372563068305</v>
      </c>
      <c r="M4">
        <v>0.79049830481528138</v>
      </c>
      <c r="N4">
        <v>0.66462578160527064</v>
      </c>
      <c r="O4">
        <v>0.52713416724460838</v>
      </c>
      <c r="P4">
        <v>0.50103353595393207</v>
      </c>
      <c r="Q4">
        <v>0.47088285431509985</v>
      </c>
      <c r="R4">
        <v>0.7293474353029693</v>
      </c>
      <c r="S4">
        <v>0.77741573523619922</v>
      </c>
      <c r="T4">
        <v>0.79493649885714568</v>
      </c>
      <c r="U4">
        <v>0.87146217697345663</v>
      </c>
      <c r="V4">
        <v>0.91049825968496656</v>
      </c>
      <c r="W4">
        <v>0.74255459084003383</v>
      </c>
      <c r="X4">
        <v>0.65511903899938384</v>
      </c>
      <c r="Y4">
        <v>0.67252761830489682</v>
      </c>
      <c r="Z4">
        <v>0.81119663346672055</v>
      </c>
      <c r="AA4">
        <v>0.82168227488710499</v>
      </c>
      <c r="AB4">
        <v>0.75762927687088555</v>
      </c>
      <c r="AC4">
        <v>0.83249897550040863</v>
      </c>
      <c r="AD4">
        <v>0.91036813050861753</v>
      </c>
      <c r="AE4">
        <v>0.9041047827633979</v>
      </c>
    </row>
    <row r="5" spans="1:31" x14ac:dyDescent="0.25">
      <c r="A5" s="11">
        <v>3</v>
      </c>
      <c r="B5">
        <v>2.1693501454980417</v>
      </c>
      <c r="C5">
        <v>0.74232051957032286</v>
      </c>
      <c r="D5">
        <v>1.487299285795902</v>
      </c>
      <c r="E5">
        <v>1.1551182680966547</v>
      </c>
      <c r="F5">
        <v>1.4307035917423232</v>
      </c>
      <c r="G5">
        <v>1.0378824511755431</v>
      </c>
      <c r="H5">
        <v>1.408911882461672</v>
      </c>
      <c r="I5">
        <v>1.2604506079083535</v>
      </c>
      <c r="J5">
        <v>1.3873313509438236</v>
      </c>
      <c r="K5">
        <v>1.294002411690595</v>
      </c>
      <c r="L5">
        <v>0.91619377555145542</v>
      </c>
      <c r="M5">
        <v>0.69709525205229017</v>
      </c>
      <c r="N5">
        <v>0.68547153235463787</v>
      </c>
      <c r="O5">
        <v>0.70170847868563457</v>
      </c>
      <c r="P5">
        <v>0.56251308775023878</v>
      </c>
      <c r="Q5">
        <v>6.1043884168457525E-2</v>
      </c>
      <c r="R5">
        <v>0.87139524375834843</v>
      </c>
      <c r="S5">
        <v>0.30119100247129382</v>
      </c>
      <c r="T5">
        <v>0.65564834628633872</v>
      </c>
      <c r="U5">
        <v>0.46864415992671349</v>
      </c>
      <c r="V5">
        <v>0.69704659790139378</v>
      </c>
      <c r="W5">
        <v>0.41560295630622412</v>
      </c>
      <c r="X5">
        <v>0.56788268587634316</v>
      </c>
      <c r="Y5">
        <v>0.50331606889988756</v>
      </c>
      <c r="Z5">
        <v>0.55181812671608876</v>
      </c>
      <c r="AA5">
        <v>0.73709366609307125</v>
      </c>
      <c r="AB5">
        <v>0.8649218077505525</v>
      </c>
      <c r="AC5">
        <v>0.86046434639464831</v>
      </c>
      <c r="AD5">
        <v>0.85064491121445363</v>
      </c>
      <c r="AE5">
        <v>0.89716220374674049</v>
      </c>
    </row>
    <row r="6" spans="1:31" x14ac:dyDescent="0.25">
      <c r="A6" s="11">
        <v>4</v>
      </c>
      <c r="B6">
        <v>1.3988221511421077</v>
      </c>
      <c r="C6">
        <v>0.9712976187813136</v>
      </c>
      <c r="D6">
        <v>1.0858302568968825</v>
      </c>
      <c r="E6">
        <v>1.1146602627364015</v>
      </c>
      <c r="F6">
        <v>0.95336656332060965</v>
      </c>
      <c r="G6">
        <v>1.0799405710155998</v>
      </c>
      <c r="H6">
        <v>1.0933070315007583</v>
      </c>
      <c r="I6">
        <v>1.0655829304182522</v>
      </c>
      <c r="J6">
        <v>1.1053782272562862</v>
      </c>
      <c r="K6">
        <v>1.0310458034727408</v>
      </c>
      <c r="L6">
        <v>0.94208551140545793</v>
      </c>
      <c r="M6">
        <v>0.91066025696386899</v>
      </c>
      <c r="N6">
        <v>0.83841152678661734</v>
      </c>
      <c r="O6">
        <v>0.920288101439933</v>
      </c>
      <c r="P6">
        <v>0.93974071537077908</v>
      </c>
      <c r="Q6">
        <v>0.16204281047484653</v>
      </c>
      <c r="R6">
        <v>0.49108632916911532</v>
      </c>
      <c r="S6">
        <v>0.25513812519153034</v>
      </c>
      <c r="T6">
        <v>0.40195053020602073</v>
      </c>
      <c r="U6">
        <v>0.50608848133080442</v>
      </c>
      <c r="V6">
        <v>0.32994635285777379</v>
      </c>
      <c r="W6">
        <v>0.43298006669423772</v>
      </c>
      <c r="X6">
        <v>0.2931443988707817</v>
      </c>
      <c r="Y6">
        <v>0.27081656798225134</v>
      </c>
      <c r="Z6">
        <v>0.34450770012817694</v>
      </c>
      <c r="AA6">
        <v>0.47267820220081924</v>
      </c>
      <c r="AB6">
        <v>0.53557005721626672</v>
      </c>
      <c r="AC6">
        <v>0.60756418511180532</v>
      </c>
      <c r="AD6">
        <v>0.46157512316862909</v>
      </c>
      <c r="AE6">
        <v>0.47510741043343824</v>
      </c>
    </row>
    <row r="7" spans="1:31" x14ac:dyDescent="0.25">
      <c r="A7" s="11">
        <v>5</v>
      </c>
      <c r="B7">
        <v>0.68816692328148177</v>
      </c>
      <c r="C7">
        <v>0.5695785097349032</v>
      </c>
      <c r="D7">
        <v>0.9732083699965457</v>
      </c>
      <c r="E7">
        <v>1.2505942638583532</v>
      </c>
      <c r="F7">
        <v>0.77166513083142696</v>
      </c>
      <c r="G7">
        <v>0.67661248952964204</v>
      </c>
      <c r="H7">
        <v>0.8107386564153497</v>
      </c>
      <c r="I7">
        <v>0.8560214171775532</v>
      </c>
      <c r="J7">
        <v>0.84231238196947045</v>
      </c>
      <c r="K7">
        <v>0.95332981108476644</v>
      </c>
      <c r="L7">
        <v>0.64656845988630618</v>
      </c>
      <c r="M7">
        <v>0.66091214286439193</v>
      </c>
      <c r="N7">
        <v>0.50862883425768657</v>
      </c>
      <c r="O7">
        <v>0.60129696338657546</v>
      </c>
      <c r="P7">
        <v>0.57771356723249967</v>
      </c>
      <c r="Q7">
        <v>0.81494348634992098</v>
      </c>
      <c r="R7">
        <v>0.81423754357646227</v>
      </c>
      <c r="S7">
        <v>0.403275589476285</v>
      </c>
      <c r="T7">
        <v>0.32785925163856522</v>
      </c>
      <c r="U7">
        <v>0.73602058917786506</v>
      </c>
      <c r="V7">
        <v>0.74009234309197558</v>
      </c>
      <c r="W7">
        <v>0.79132884271352655</v>
      </c>
      <c r="X7">
        <v>0.50599290565030486</v>
      </c>
      <c r="Y7">
        <v>0.55012001874771066</v>
      </c>
      <c r="Z7">
        <v>0.40601074718701341</v>
      </c>
      <c r="AA7">
        <v>0.74418866967754249</v>
      </c>
      <c r="AB7">
        <v>0.78664215990709685</v>
      </c>
      <c r="AC7">
        <v>0.85016494442448298</v>
      </c>
      <c r="AD7">
        <v>0.81377438518238665</v>
      </c>
      <c r="AE7">
        <v>0.81080039273333959</v>
      </c>
    </row>
    <row r="8" spans="1:31" x14ac:dyDescent="0.25">
      <c r="A8" s="11">
        <v>6</v>
      </c>
      <c r="B8">
        <v>1.3502125098237567</v>
      </c>
      <c r="C8">
        <v>1.4820456754265932</v>
      </c>
      <c r="D8">
        <v>1.0787127244672234</v>
      </c>
      <c r="E8">
        <v>1.2073655385897706</v>
      </c>
      <c r="F8">
        <v>0.87383432684162166</v>
      </c>
      <c r="G8">
        <v>1.1898544154617545</v>
      </c>
      <c r="H8">
        <v>0.96317600406415871</v>
      </c>
      <c r="I8">
        <v>0.91758124072658187</v>
      </c>
      <c r="J8">
        <v>1.0971543227647302</v>
      </c>
      <c r="K8">
        <v>0.8305579191490301</v>
      </c>
      <c r="L8">
        <v>1.0078741968530063</v>
      </c>
      <c r="M8">
        <v>1.1853864427722858</v>
      </c>
      <c r="N8">
        <v>1.1806174701124268</v>
      </c>
      <c r="O8">
        <v>0.92003010278350861</v>
      </c>
      <c r="P8">
        <v>0.81046061951152204</v>
      </c>
      <c r="Q8">
        <v>0.16852753892029931</v>
      </c>
      <c r="R8">
        <v>0.35779839427113586</v>
      </c>
      <c r="S8">
        <v>9.4449927335213776E-2</v>
      </c>
      <c r="T8">
        <v>0.31847215649336313</v>
      </c>
      <c r="U8">
        <v>0.20630178155282</v>
      </c>
      <c r="V8">
        <v>0.31500888330041193</v>
      </c>
      <c r="W8">
        <v>0.27782227783222757</v>
      </c>
      <c r="X8">
        <v>0.1768188042692071</v>
      </c>
      <c r="Y8">
        <v>2.2209454002884772E-2</v>
      </c>
      <c r="Z8">
        <v>0.26176035885840954</v>
      </c>
      <c r="AA8">
        <v>0.44550557438068794</v>
      </c>
      <c r="AB8">
        <v>0.32479201331214747</v>
      </c>
      <c r="AC8">
        <v>0.33527246441967878</v>
      </c>
      <c r="AD8">
        <v>0.39398600203913053</v>
      </c>
      <c r="AE8">
        <v>0.4634178097852491</v>
      </c>
    </row>
    <row r="9" spans="1:31" x14ac:dyDescent="0.25">
      <c r="A9" s="11">
        <v>7</v>
      </c>
      <c r="B9">
        <v>0.9416598803459596</v>
      </c>
      <c r="C9">
        <v>0.90028286574216032</v>
      </c>
      <c r="D9">
        <v>1.0271530177920183</v>
      </c>
      <c r="E9">
        <v>1.0376989134406955</v>
      </c>
      <c r="F9">
        <v>1.1042069099943033</v>
      </c>
      <c r="G9">
        <v>1.1157666242585187</v>
      </c>
      <c r="H9">
        <v>0.9761003774122482</v>
      </c>
      <c r="I9">
        <v>1.144668802172343</v>
      </c>
      <c r="J9">
        <v>1.3127346476162527</v>
      </c>
      <c r="K9">
        <v>1.191921374751183</v>
      </c>
      <c r="L9">
        <v>1.0318225538608452</v>
      </c>
      <c r="M9">
        <v>1.1499952925277928</v>
      </c>
      <c r="N9">
        <v>1.0890000194395089</v>
      </c>
      <c r="O9">
        <v>0.98588751760148419</v>
      </c>
      <c r="P9">
        <v>0.93822906224568459</v>
      </c>
      <c r="Q9">
        <v>0.77223168008798171</v>
      </c>
      <c r="R9">
        <v>0.66178329165502814</v>
      </c>
      <c r="S9">
        <v>0.45061596381368524</v>
      </c>
      <c r="T9">
        <v>0.45312738562226579</v>
      </c>
      <c r="U9">
        <v>0.47375312951400728</v>
      </c>
      <c r="V9">
        <v>0.33936435261886594</v>
      </c>
      <c r="W9">
        <v>0.60298339836687986</v>
      </c>
      <c r="X9">
        <v>0.27295556547282301</v>
      </c>
      <c r="Y9">
        <v>2.1765966256329483E-2</v>
      </c>
      <c r="Z9">
        <v>0.131454779377803</v>
      </c>
      <c r="AA9">
        <v>0.49925177178863411</v>
      </c>
      <c r="AB9">
        <v>0.20579570694312616</v>
      </c>
      <c r="AC9">
        <v>0.37554526587211506</v>
      </c>
      <c r="AD9">
        <v>0.63464674748083461</v>
      </c>
      <c r="AE9">
        <v>0.6794445970409686</v>
      </c>
    </row>
    <row r="10" spans="1:31" x14ac:dyDescent="0.25">
      <c r="A10" s="11">
        <v>8</v>
      </c>
      <c r="B10">
        <v>1.155292683562648</v>
      </c>
      <c r="C10">
        <v>0.89066172452059489</v>
      </c>
      <c r="D10">
        <v>0.87953740183982732</v>
      </c>
      <c r="E10">
        <v>0.98818643382499904</v>
      </c>
      <c r="F10">
        <v>1.0729289242098006</v>
      </c>
      <c r="G10">
        <v>1.0910672281899392</v>
      </c>
      <c r="H10">
        <v>1.278109334518825</v>
      </c>
      <c r="I10">
        <v>0.74742815516090277</v>
      </c>
      <c r="J10">
        <v>1.0817884625681036</v>
      </c>
      <c r="K10">
        <v>0.99734498060743559</v>
      </c>
      <c r="L10">
        <v>0.93979334819191462</v>
      </c>
      <c r="M10">
        <v>1.0617793077799969</v>
      </c>
      <c r="N10">
        <v>0.96312339400399216</v>
      </c>
      <c r="O10">
        <v>1.0001707452151511</v>
      </c>
      <c r="P10">
        <v>0.81864114489420359</v>
      </c>
      <c r="Q10">
        <v>0.2801947223393485</v>
      </c>
      <c r="R10">
        <v>0.45584666875167851</v>
      </c>
      <c r="S10">
        <v>0.46475729316575748</v>
      </c>
      <c r="T10">
        <v>0.33353215445612894</v>
      </c>
      <c r="U10">
        <v>0.18089078952414528</v>
      </c>
      <c r="V10">
        <v>0.13234230128792515</v>
      </c>
      <c r="W10">
        <v>3.9669322077732855E-2</v>
      </c>
      <c r="X10">
        <v>0.66894685328266523</v>
      </c>
      <c r="Y10">
        <v>0.15412238544500262</v>
      </c>
      <c r="Z10">
        <v>0.27605824056995343</v>
      </c>
      <c r="AA10">
        <v>0.46245742704870457</v>
      </c>
      <c r="AB10">
        <v>0.18185702239298393</v>
      </c>
      <c r="AC10">
        <v>0.33040060668421212</v>
      </c>
      <c r="AD10">
        <v>0.4962478828020328</v>
      </c>
      <c r="AE10">
        <v>0.71736722281492726</v>
      </c>
    </row>
    <row r="11" spans="1:31" x14ac:dyDescent="0.25">
      <c r="A11" s="11">
        <v>9</v>
      </c>
      <c r="B11">
        <v>1.6499280751746677</v>
      </c>
      <c r="C11">
        <v>0.91984424813547472</v>
      </c>
      <c r="D11">
        <v>1.0841392335902171</v>
      </c>
      <c r="E11">
        <v>0.69491674373133849</v>
      </c>
      <c r="F11">
        <v>1.3081861720147414</v>
      </c>
      <c r="G11">
        <v>0.88465183454184393</v>
      </c>
      <c r="H11">
        <v>0.97019000288495894</v>
      </c>
      <c r="I11">
        <v>1.0811073027225373</v>
      </c>
      <c r="J11">
        <v>1.179034990337543</v>
      </c>
      <c r="K11">
        <v>1.04164667169155</v>
      </c>
      <c r="L11">
        <v>0.88965363303544531</v>
      </c>
      <c r="M11">
        <v>0.85300906476543381</v>
      </c>
      <c r="N11">
        <v>0.89843604904499641</v>
      </c>
      <c r="O11">
        <v>0.79134065261875908</v>
      </c>
      <c r="P11">
        <v>0.87435601386506179</v>
      </c>
      <c r="Q11">
        <v>0.24927607573538801</v>
      </c>
      <c r="R11">
        <v>0.76807871559144281</v>
      </c>
      <c r="S11">
        <v>0.78535755301901466</v>
      </c>
      <c r="T11">
        <v>0.88132546246363774</v>
      </c>
      <c r="U11">
        <v>0.86836416631082924</v>
      </c>
      <c r="V11">
        <v>0.88659407992515427</v>
      </c>
      <c r="W11">
        <v>0.73813483180782491</v>
      </c>
      <c r="X11">
        <v>0.75315712290940351</v>
      </c>
      <c r="Y11">
        <v>0.79931499419408214</v>
      </c>
      <c r="Z11">
        <v>0.84115049287098642</v>
      </c>
      <c r="AA11">
        <v>0.83155915559675686</v>
      </c>
      <c r="AB11">
        <v>0.87991922683607671</v>
      </c>
      <c r="AC11">
        <v>0.84621006914738484</v>
      </c>
      <c r="AD11">
        <v>0.89010545904773131</v>
      </c>
      <c r="AE11">
        <v>0.82723076025641096</v>
      </c>
    </row>
    <row r="12" spans="1:31" x14ac:dyDescent="0.25">
      <c r="A12" s="14">
        <v>10</v>
      </c>
      <c r="B12">
        <v>1.0755609697514827</v>
      </c>
      <c r="C12">
        <v>1.1285604857893454</v>
      </c>
      <c r="D12">
        <v>0.97001095645912683</v>
      </c>
      <c r="E12">
        <v>1.1534597360010377</v>
      </c>
      <c r="F12">
        <v>1.3026135794216755</v>
      </c>
      <c r="G12">
        <v>1.2247154761146908</v>
      </c>
      <c r="H12">
        <v>0.91054979010453729</v>
      </c>
      <c r="I12">
        <v>1.2140543645158564</v>
      </c>
      <c r="J12">
        <v>1.138516602045069</v>
      </c>
      <c r="K12">
        <v>1.1556888903047899</v>
      </c>
      <c r="L12">
        <v>1.1750766490093671</v>
      </c>
      <c r="M12">
        <v>1.26684668668266</v>
      </c>
      <c r="N12">
        <v>1.2542594473985438</v>
      </c>
      <c r="O12">
        <v>1.0418161083864561</v>
      </c>
      <c r="P12">
        <v>0.96803852660272083</v>
      </c>
      <c r="Q12">
        <v>0.70756322987934983</v>
      </c>
      <c r="R12">
        <v>0.60652284787342714</v>
      </c>
      <c r="S12">
        <v>0.73771150862904489</v>
      </c>
      <c r="T12">
        <v>0.57836795799068019</v>
      </c>
      <c r="U12">
        <v>0.53252237031514194</v>
      </c>
      <c r="V12">
        <v>0.47728458906880911</v>
      </c>
      <c r="W12">
        <v>0.72241708469107013</v>
      </c>
      <c r="X12">
        <v>0.5705827685433279</v>
      </c>
      <c r="Y12">
        <v>0.57527976831782734</v>
      </c>
      <c r="Z12">
        <v>0.61808768243938272</v>
      </c>
      <c r="AA12">
        <v>0.54792565354951561</v>
      </c>
      <c r="AB12">
        <v>0.41027067068020151</v>
      </c>
      <c r="AC12">
        <v>0.42280772532757505</v>
      </c>
      <c r="AD12">
        <v>0.67609300984414256</v>
      </c>
      <c r="AE12">
        <v>0.73872167277504619</v>
      </c>
    </row>
    <row r="14" spans="1:31" x14ac:dyDescent="0.25">
      <c r="A14" s="4" t="s">
        <v>17</v>
      </c>
      <c r="B14" s="4">
        <f>AVERAGE(B3:B12)</f>
        <v>1.2465469049573765</v>
      </c>
      <c r="C14" s="5">
        <f t="shared" ref="C14:AE14" si="0">AVERAGE(C3:C12)</f>
        <v>0.93229139868080357</v>
      </c>
      <c r="D14" s="5">
        <f t="shared" si="0"/>
        <v>1.0567179446310255</v>
      </c>
      <c r="E14" s="5">
        <f t="shared" si="0"/>
        <v>1.0181150030448571</v>
      </c>
      <c r="F14" s="5">
        <f t="shared" si="0"/>
        <v>1.0899754424310977</v>
      </c>
      <c r="G14" s="5">
        <f t="shared" si="0"/>
        <v>0.959465009260424</v>
      </c>
      <c r="H14" s="5">
        <f t="shared" si="0"/>
        <v>1.0674198562734545</v>
      </c>
      <c r="I14" s="5">
        <f t="shared" si="0"/>
        <v>1.0302634361396747</v>
      </c>
      <c r="J14" s="5">
        <f t="shared" si="0"/>
        <v>1.1253034269688196</v>
      </c>
      <c r="K14" s="5">
        <f t="shared" si="0"/>
        <v>1.0415050479767647</v>
      </c>
      <c r="L14" s="5">
        <f t="shared" si="0"/>
        <v>0.92395038198042434</v>
      </c>
      <c r="M14" s="5">
        <f t="shared" si="0"/>
        <v>0.94436820022910661</v>
      </c>
      <c r="N14" s="5">
        <f t="shared" si="0"/>
        <v>0.90394345876538174</v>
      </c>
      <c r="O14" s="5">
        <f t="shared" si="0"/>
        <v>0.82426008942249496</v>
      </c>
      <c r="P14" s="6">
        <f t="shared" si="0"/>
        <v>0.77653162159780753</v>
      </c>
      <c r="Q14" s="5">
        <f t="shared" si="0"/>
        <v>0.43143119286265252</v>
      </c>
      <c r="R14" s="5">
        <f t="shared" si="0"/>
        <v>0.63168611446577305</v>
      </c>
      <c r="S14" s="5">
        <f t="shared" si="0"/>
        <v>0.48200625393059005</v>
      </c>
      <c r="T14" s="5">
        <f t="shared" si="0"/>
        <v>0.54625959194114948</v>
      </c>
      <c r="U14" s="5">
        <f t="shared" si="0"/>
        <v>0.54498133305918528</v>
      </c>
      <c r="V14" s="5">
        <f t="shared" si="0"/>
        <v>0.55820250072817967</v>
      </c>
      <c r="W14" s="5">
        <f t="shared" si="0"/>
        <v>0.49615811908735896</v>
      </c>
      <c r="X14" s="5">
        <f t="shared" si="0"/>
        <v>0.49312387990452117</v>
      </c>
      <c r="Y14" s="5">
        <f t="shared" si="0"/>
        <v>0.39170322290511861</v>
      </c>
      <c r="Z14" s="5">
        <f t="shared" si="0"/>
        <v>0.46784122164228431</v>
      </c>
      <c r="AA14" s="5">
        <f t="shared" si="0"/>
        <v>0.60088169072775932</v>
      </c>
      <c r="AB14" s="5">
        <f t="shared" si="0"/>
        <v>0.55648841714602637</v>
      </c>
      <c r="AC14" s="5">
        <f t="shared" si="0"/>
        <v>0.59272603123848167</v>
      </c>
      <c r="AD14" s="5">
        <f t="shared" si="0"/>
        <v>0.68644431905629988</v>
      </c>
      <c r="AE14" s="6">
        <f t="shared" si="0"/>
        <v>0.72012537791984299</v>
      </c>
    </row>
    <row r="15" spans="1:31" x14ac:dyDescent="0.25">
      <c r="A15" s="7" t="s">
        <v>19</v>
      </c>
      <c r="B15" s="7">
        <f>MEDIAN(B3:B12)</f>
        <v>1.1766264360135601</v>
      </c>
      <c r="C15" s="8">
        <f t="shared" ref="C15:AE15" si="1">MEDIAN(C3:C12)</f>
        <v>0.8954722951313776</v>
      </c>
      <c r="D15" s="8">
        <f t="shared" si="1"/>
        <v>1.0104852146350933</v>
      </c>
      <c r="E15" s="8">
        <f t="shared" si="1"/>
        <v>1.0761795880885485</v>
      </c>
      <c r="F15" s="8">
        <f t="shared" si="1"/>
        <v>1.0572222756933645</v>
      </c>
      <c r="G15" s="8">
        <f t="shared" si="1"/>
        <v>1.0589115110955714</v>
      </c>
      <c r="H15" s="8">
        <f t="shared" si="1"/>
        <v>0.97314519014860357</v>
      </c>
      <c r="I15" s="8">
        <f t="shared" si="1"/>
        <v>1.060715544346774</v>
      </c>
      <c r="J15" s="8">
        <f t="shared" si="1"/>
        <v>1.1012662750105082</v>
      </c>
      <c r="K15" s="8">
        <f t="shared" si="1"/>
        <v>1.0314598195499527</v>
      </c>
      <c r="L15" s="8">
        <f t="shared" si="1"/>
        <v>0.94093942979868628</v>
      </c>
      <c r="M15" s="8">
        <f t="shared" si="1"/>
        <v>0.88907975401546646</v>
      </c>
      <c r="N15" s="8">
        <f t="shared" si="1"/>
        <v>0.92764829084756573</v>
      </c>
      <c r="O15" s="8">
        <f t="shared" si="1"/>
        <v>0.85568537770113384</v>
      </c>
      <c r="P15" s="9">
        <f t="shared" si="1"/>
        <v>0.81455088220286287</v>
      </c>
      <c r="Q15" s="8">
        <f t="shared" si="1"/>
        <v>0.3755387883272242</v>
      </c>
      <c r="R15" s="8">
        <f t="shared" si="1"/>
        <v>0.63415306976422769</v>
      </c>
      <c r="S15" s="8">
        <f t="shared" si="1"/>
        <v>0.45768662848972136</v>
      </c>
      <c r="T15" s="8">
        <f t="shared" si="1"/>
        <v>0.51574767180647296</v>
      </c>
      <c r="U15" s="8">
        <f t="shared" si="1"/>
        <v>0.51930542582297323</v>
      </c>
      <c r="V15" s="8">
        <f t="shared" si="1"/>
        <v>0.58716559348510144</v>
      </c>
      <c r="W15" s="8">
        <f t="shared" si="1"/>
        <v>0.51798173253055879</v>
      </c>
      <c r="X15" s="8">
        <f t="shared" si="1"/>
        <v>0.53693779576332401</v>
      </c>
      <c r="Y15" s="8">
        <f t="shared" si="1"/>
        <v>0.42543772790010037</v>
      </c>
      <c r="Z15" s="8">
        <f t="shared" si="1"/>
        <v>0.42118910099766094</v>
      </c>
      <c r="AA15" s="8">
        <f t="shared" si="1"/>
        <v>0.52358871266907481</v>
      </c>
      <c r="AB15" s="8">
        <f t="shared" si="1"/>
        <v>0.57652814338359648</v>
      </c>
      <c r="AC15" s="8">
        <f t="shared" si="1"/>
        <v>0.53694795730715539</v>
      </c>
      <c r="AD15" s="8">
        <f t="shared" si="1"/>
        <v>0.70654727455959132</v>
      </c>
      <c r="AE15" s="9">
        <f t="shared" si="1"/>
        <v>0.72804444779498678</v>
      </c>
    </row>
  </sheetData>
  <mergeCells count="2">
    <mergeCell ref="B1:P1"/>
    <mergeCell ref="Q1:A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8"/>
  <sheetViews>
    <sheetView tabSelected="1" topLeftCell="A47" zoomScale="80" zoomScaleNormal="80" workbookViewId="0">
      <selection activeCell="L89" sqref="L89"/>
    </sheetView>
  </sheetViews>
  <sheetFormatPr defaultRowHeight="15" x14ac:dyDescent="0.25"/>
  <cols>
    <col min="2" max="2" width="19.85546875" bestFit="1" customWidth="1"/>
    <col min="31" max="31" width="11" customWidth="1"/>
    <col min="32" max="32" width="11.42578125" customWidth="1"/>
  </cols>
  <sheetData>
    <row r="1" spans="1:32" x14ac:dyDescent="0.25">
      <c r="C1" s="31" t="s">
        <v>0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30"/>
      <c r="R1" s="29" t="s">
        <v>1</v>
      </c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30"/>
    </row>
    <row r="2" spans="1:32" x14ac:dyDescent="0.25"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6" t="s">
        <v>16</v>
      </c>
      <c r="R2" s="4" t="s">
        <v>2</v>
      </c>
      <c r="S2" s="5" t="s">
        <v>3</v>
      </c>
      <c r="T2" s="5" t="s">
        <v>4</v>
      </c>
      <c r="U2" s="5" t="s">
        <v>5</v>
      </c>
      <c r="V2" s="5" t="s">
        <v>6</v>
      </c>
      <c r="W2" s="5" t="s">
        <v>7</v>
      </c>
      <c r="X2" s="5" t="s">
        <v>8</v>
      </c>
      <c r="Y2" s="5" t="s">
        <v>9</v>
      </c>
      <c r="Z2" s="5" t="s">
        <v>10</v>
      </c>
      <c r="AA2" s="5" t="s">
        <v>11</v>
      </c>
      <c r="AB2" s="5" t="s">
        <v>12</v>
      </c>
      <c r="AC2" s="5" t="s">
        <v>13</v>
      </c>
      <c r="AD2" s="5" t="s">
        <v>14</v>
      </c>
      <c r="AE2" s="5" t="s">
        <v>15</v>
      </c>
      <c r="AF2" s="6" t="s">
        <v>16</v>
      </c>
    </row>
    <row r="3" spans="1:32" x14ac:dyDescent="0.25">
      <c r="A3" s="32">
        <v>102</v>
      </c>
      <c r="B3" s="5">
        <v>1</v>
      </c>
      <c r="C3" s="4">
        <f>'102'!B3</f>
        <v>0.6718308801246039</v>
      </c>
      <c r="D3" s="5">
        <f>'102'!C3</f>
        <v>0.67802811075291469</v>
      </c>
      <c r="E3" s="5">
        <f>'102'!D3</f>
        <v>0.86692734206761346</v>
      </c>
      <c r="F3" s="5">
        <f>'102'!E3</f>
        <v>0.82015765801511209</v>
      </c>
      <c r="G3" s="5">
        <f>'102'!F3</f>
        <v>1.0228609515084395</v>
      </c>
      <c r="H3" s="5">
        <f>'102'!G3</f>
        <v>0.87570572795003476</v>
      </c>
      <c r="I3" s="5">
        <f>'102'!H3</f>
        <v>0.77424315364522278</v>
      </c>
      <c r="J3" s="5">
        <f>'102'!I3</f>
        <v>0.7670423712684219</v>
      </c>
      <c r="K3" s="5">
        <f>'102'!J3</f>
        <v>0.91512882670588169</v>
      </c>
      <c r="L3" s="5">
        <f>'102'!K3</f>
        <v>0.86464788940098813</v>
      </c>
      <c r="M3" s="5">
        <f>'102'!L3</f>
        <v>0.74049650955845159</v>
      </c>
      <c r="N3" s="5">
        <f>'102'!M3</f>
        <v>0.8595505445684487</v>
      </c>
      <c r="O3" s="5">
        <f>'102'!N3</f>
        <v>0.88404016250356721</v>
      </c>
      <c r="P3" s="5">
        <f>'102'!O3</f>
        <v>0.69761533421548538</v>
      </c>
      <c r="Q3" s="5">
        <f>'102'!P3</f>
        <v>0.60864860106845176</v>
      </c>
      <c r="R3" s="4">
        <f>'102'!Q3</f>
        <v>0.83256752207824225</v>
      </c>
      <c r="S3" s="5">
        <f>'102'!R3</f>
        <v>0.8019783121838181</v>
      </c>
      <c r="T3" s="5">
        <f>'102'!S3</f>
        <v>0.71932538901041643</v>
      </c>
      <c r="U3" s="5">
        <f>'102'!T3</f>
        <v>0.75176504660163324</v>
      </c>
      <c r="V3" s="5">
        <f>'102'!U3</f>
        <v>0.70748901576328249</v>
      </c>
      <c r="W3" s="5">
        <f>'102'!V3</f>
        <v>0.74609152501829878</v>
      </c>
      <c r="X3" s="5">
        <f>'102'!W3</f>
        <v>0.77776739808334838</v>
      </c>
      <c r="Y3" s="5">
        <f>'102'!X3</f>
        <v>0.83286860654358785</v>
      </c>
      <c r="Z3" s="5">
        <f>'102'!Y3</f>
        <v>0.71269117273044968</v>
      </c>
      <c r="AA3" s="5">
        <f>'102'!Z3</f>
        <v>0.7685437626948759</v>
      </c>
      <c r="AB3" s="5">
        <f>'102'!AA3</f>
        <v>0.76744405140653837</v>
      </c>
      <c r="AC3" s="5">
        <f>'102'!AB3</f>
        <v>0.70582424000253963</v>
      </c>
      <c r="AD3" s="5">
        <f>'102'!AC3</f>
        <v>0.68290621232616677</v>
      </c>
      <c r="AE3" s="5">
        <f>'102'!AD3</f>
        <v>0.81188051596981381</v>
      </c>
      <c r="AF3" s="6">
        <f>'102'!AE3</f>
        <v>0.85023371606132558</v>
      </c>
    </row>
    <row r="4" spans="1:32" x14ac:dyDescent="0.25">
      <c r="A4" s="33"/>
      <c r="B4" s="2">
        <v>2</v>
      </c>
      <c r="C4" s="1">
        <f>'102'!B4</f>
        <v>1.2640447244557844</v>
      </c>
      <c r="D4" s="2">
        <f>'102'!C4</f>
        <v>1.1980970136624649</v>
      </c>
      <c r="E4" s="2">
        <f>'102'!D4</f>
        <v>0.95393463134352141</v>
      </c>
      <c r="F4" s="2">
        <f>'102'!E4</f>
        <v>1.1607483484044177</v>
      </c>
      <c r="G4" s="2">
        <f>'102'!F4</f>
        <v>1.1975136944739573</v>
      </c>
      <c r="H4" s="2">
        <f>'102'!G4</f>
        <v>1.2585423331893395</v>
      </c>
      <c r="I4" s="2">
        <f>'102'!H4</f>
        <v>1.255367362312124</v>
      </c>
      <c r="J4" s="2">
        <f>'102'!I4</f>
        <v>1.037783781843429</v>
      </c>
      <c r="K4" s="2">
        <f>'102'!J4</f>
        <v>1.2251361471532121</v>
      </c>
      <c r="L4" s="2">
        <f>'102'!K4</f>
        <v>1.1799886997758355</v>
      </c>
      <c r="M4" s="2">
        <f>'102'!L4</f>
        <v>1.0282092745105442</v>
      </c>
      <c r="N4" s="2">
        <f>'102'!M4</f>
        <v>1.1217808827990874</v>
      </c>
      <c r="O4" s="2">
        <f>'102'!N4</f>
        <v>1.1235989413631982</v>
      </c>
      <c r="P4" s="2">
        <f>'102'!O4</f>
        <v>1.0662890600877184</v>
      </c>
      <c r="Q4" s="2">
        <f>'102'!P4</f>
        <v>1.0105345310240101</v>
      </c>
      <c r="R4" s="1">
        <f>'102'!Q4</f>
        <v>0.31972696022901126</v>
      </c>
      <c r="S4" s="2">
        <f>'102'!R4</f>
        <v>0.38841442162740808</v>
      </c>
      <c r="T4" s="2">
        <f>'102'!S4</f>
        <v>0.71351779250113467</v>
      </c>
      <c r="U4" s="2">
        <f>'102'!T4</f>
        <v>0.41419645710782788</v>
      </c>
      <c r="V4" s="2">
        <f>'102'!U4</f>
        <v>0.53735103421797292</v>
      </c>
      <c r="W4" s="2">
        <f>'102'!V4</f>
        <v>0.44118168271665603</v>
      </c>
      <c r="X4" s="2">
        <f>'102'!W4</f>
        <v>0.37435333263916448</v>
      </c>
      <c r="Y4" s="2">
        <f>'102'!X4</f>
        <v>0.68163036062975357</v>
      </c>
      <c r="Z4" s="2">
        <f>'102'!Y4</f>
        <v>0.34989050034049934</v>
      </c>
      <c r="AA4" s="2">
        <f>'102'!Z4</f>
        <v>0.41653816149919237</v>
      </c>
      <c r="AB4" s="2">
        <f>'102'!AA4</f>
        <v>0.60824521987315927</v>
      </c>
      <c r="AC4" s="2">
        <f>'102'!AB4</f>
        <v>0.45092940783779983</v>
      </c>
      <c r="AD4" s="2">
        <f>'102'!AC4</f>
        <v>0.45902004386747469</v>
      </c>
      <c r="AE4" s="2">
        <f>'102'!AD4</f>
        <v>0.51256585497430818</v>
      </c>
      <c r="AF4" s="3">
        <f>'102'!AE4</f>
        <v>0.55645329001482413</v>
      </c>
    </row>
    <row r="5" spans="1:32" x14ac:dyDescent="0.25">
      <c r="A5" s="33"/>
      <c r="B5" s="2">
        <v>3</v>
      </c>
      <c r="C5" s="1">
        <f>'102'!B5</f>
        <v>1.015185634988536</v>
      </c>
      <c r="D5" s="2">
        <f>'102'!C5</f>
        <v>0.85889019168481873</v>
      </c>
      <c r="E5" s="2">
        <f>'102'!D5</f>
        <v>0.97108402152737006</v>
      </c>
      <c r="F5" s="2">
        <f>'102'!E5</f>
        <v>0.64947671716715982</v>
      </c>
      <c r="G5" s="2">
        <f>'102'!F5</f>
        <v>1.018889225653415</v>
      </c>
      <c r="H5" s="2">
        <f>'102'!G5</f>
        <v>0.799293645746187</v>
      </c>
      <c r="I5" s="2">
        <f>'102'!H5</f>
        <v>0.91828197636288356</v>
      </c>
      <c r="J5" s="2">
        <f>'102'!I5</f>
        <v>1.0872868132921862</v>
      </c>
      <c r="K5" s="2">
        <f>'102'!J5</f>
        <v>0.92876039993816917</v>
      </c>
      <c r="L5" s="2">
        <f>'102'!K5</f>
        <v>0.82582633276415462</v>
      </c>
      <c r="M5" s="2">
        <f>'102'!L5</f>
        <v>0.94359829525904138</v>
      </c>
      <c r="N5" s="2">
        <f>'102'!M5</f>
        <v>0.84499938736026958</v>
      </c>
      <c r="O5" s="2">
        <f>'102'!N5</f>
        <v>0.8540575595340345</v>
      </c>
      <c r="P5" s="2">
        <f>'102'!O5</f>
        <v>0.77140649011145679</v>
      </c>
      <c r="Q5" s="2">
        <f>'102'!P5</f>
        <v>0.76976632570545522</v>
      </c>
      <c r="R5" s="1">
        <f>'102'!Q5</f>
        <v>0.51024094753916804</v>
      </c>
      <c r="S5" s="2">
        <f>'102'!R5</f>
        <v>0.65857257948116266</v>
      </c>
      <c r="T5" s="2">
        <f>'102'!S5</f>
        <v>0.68235234509629805</v>
      </c>
      <c r="U5" s="2">
        <f>'102'!T5</f>
        <v>0.76565483607008999</v>
      </c>
      <c r="V5" s="2">
        <f>'102'!U5</f>
        <v>0.63786945572858667</v>
      </c>
      <c r="W5" s="2">
        <f>'102'!V5</f>
        <v>0.78598909599081224</v>
      </c>
      <c r="X5" s="2">
        <f>'102'!W5</f>
        <v>0.63030192336795021</v>
      </c>
      <c r="Y5" s="2">
        <f>'102'!X5</f>
        <v>0.42729488740257743</v>
      </c>
      <c r="Z5" s="2">
        <f>'102'!Y5</f>
        <v>0.59597590656004495</v>
      </c>
      <c r="AA5" s="2">
        <f>'102'!Z5</f>
        <v>0.74790187481546089</v>
      </c>
      <c r="AB5" s="2">
        <f>'102'!AA5</f>
        <v>0.59448454123690053</v>
      </c>
      <c r="AC5" s="2">
        <f>'102'!AB5</f>
        <v>0.59367666739278224</v>
      </c>
      <c r="AD5" s="2">
        <f>'102'!AC5</f>
        <v>0.5831435931624106</v>
      </c>
      <c r="AE5" s="2">
        <f>'102'!AD5</f>
        <v>0.70137444688179562</v>
      </c>
      <c r="AF5" s="3">
        <f>'102'!AE5</f>
        <v>0.6878456094007328</v>
      </c>
    </row>
    <row r="6" spans="1:32" x14ac:dyDescent="0.25">
      <c r="A6" s="33"/>
      <c r="B6" s="2">
        <v>4</v>
      </c>
      <c r="C6" s="1">
        <f>'102'!B6</f>
        <v>0.59543381205092816</v>
      </c>
      <c r="D6" s="2">
        <f>'102'!C6</f>
        <v>0.59710299659320343</v>
      </c>
      <c r="E6" s="2">
        <f>'102'!D6</f>
        <v>0.80610018528251193</v>
      </c>
      <c r="F6" s="2">
        <f>'102'!E6</f>
        <v>0.7326990113452112</v>
      </c>
      <c r="G6" s="2">
        <f>'102'!F6</f>
        <v>0.86352174543440618</v>
      </c>
      <c r="H6" s="2">
        <f>'102'!G6</f>
        <v>0.78027654448625894</v>
      </c>
      <c r="I6" s="2">
        <f>'102'!H6</f>
        <v>1.2536187593790227</v>
      </c>
      <c r="J6" s="2">
        <f>'102'!I6</f>
        <v>0.7262654430547989</v>
      </c>
      <c r="K6" s="2">
        <f>'102'!J6</f>
        <v>0.79450073459537041</v>
      </c>
      <c r="L6" s="2">
        <f>'102'!K6</f>
        <v>0.886974241529219</v>
      </c>
      <c r="M6" s="2">
        <f>'102'!L6</f>
        <v>0.7141171615869486</v>
      </c>
      <c r="N6" s="2">
        <f>'102'!M6</f>
        <v>0.77784248299377212</v>
      </c>
      <c r="O6" s="2">
        <f>'102'!N6</f>
        <v>0.74076627638862347</v>
      </c>
      <c r="P6" s="2">
        <f>'102'!O6</f>
        <v>0.6660386222590623</v>
      </c>
      <c r="Q6" s="2">
        <f>'102'!P6</f>
        <v>0.56012098148487821</v>
      </c>
      <c r="R6" s="1">
        <f>'102'!Q6</f>
        <v>0.73163373029812107</v>
      </c>
      <c r="S6" s="2">
        <f>'102'!R6</f>
        <v>0.7504946575968201</v>
      </c>
      <c r="T6" s="2">
        <f>'102'!S6</f>
        <v>0.70972917222529575</v>
      </c>
      <c r="U6" s="2">
        <f>'102'!T6</f>
        <v>0.67669982298381559</v>
      </c>
      <c r="V6" s="2">
        <f>'102'!U6</f>
        <v>0.6837865272790502</v>
      </c>
      <c r="W6" s="2">
        <f>'102'!V6</f>
        <v>0.73777070429027447</v>
      </c>
      <c r="X6" s="2">
        <f>'102'!W6</f>
        <v>0.10126181505803211</v>
      </c>
      <c r="Y6" s="2">
        <f>'102'!X6</f>
        <v>0.59008388674680701</v>
      </c>
      <c r="Z6" s="2">
        <f>'102'!Y6</f>
        <v>0.64936520584984958</v>
      </c>
      <c r="AA6" s="2">
        <f>'102'!Z6</f>
        <v>0.51316832593499662</v>
      </c>
      <c r="AB6" s="2">
        <f>'102'!AA6</f>
        <v>0.70804558448879951</v>
      </c>
      <c r="AC6" s="2">
        <f>'102'!AB6</f>
        <v>0.65774529915185653</v>
      </c>
      <c r="AD6" s="2">
        <f>'102'!AC6</f>
        <v>0.67432807197665068</v>
      </c>
      <c r="AE6" s="2">
        <f>'102'!AD6</f>
        <v>0.7116427191401018</v>
      </c>
      <c r="AF6" s="3">
        <f>'102'!AE6</f>
        <v>0.80927278484334986</v>
      </c>
    </row>
    <row r="7" spans="1:32" x14ac:dyDescent="0.25">
      <c r="A7" s="33"/>
      <c r="B7" s="2">
        <v>5</v>
      </c>
      <c r="C7" s="1">
        <f>'102'!B7</f>
        <v>0.90838191109141053</v>
      </c>
      <c r="D7" s="2">
        <f>'102'!C7</f>
        <v>0.83796286384511076</v>
      </c>
      <c r="E7" s="2">
        <f>'102'!D7</f>
        <v>0.77630412769572243</v>
      </c>
      <c r="F7" s="2">
        <f>'102'!E7</f>
        <v>0.81127303617339586</v>
      </c>
      <c r="G7" s="2">
        <f>'102'!F7</f>
        <v>0.95470595018815418</v>
      </c>
      <c r="H7" s="2">
        <f>'102'!G7</f>
        <v>0.84418889764781513</v>
      </c>
      <c r="I7" s="2">
        <f>'102'!H7</f>
        <v>1.0461024936096923</v>
      </c>
      <c r="J7" s="2">
        <f>'102'!I7</f>
        <v>0.93347781696299548</v>
      </c>
      <c r="K7" s="2">
        <f>'102'!J7</f>
        <v>1.0663296664753823</v>
      </c>
      <c r="L7" s="2">
        <f>'102'!K7</f>
        <v>1.1543458604871923</v>
      </c>
      <c r="M7" s="2">
        <f>'102'!L7</f>
        <v>0.65329258712948313</v>
      </c>
      <c r="N7" s="2">
        <f>'102'!M7</f>
        <v>0.76989883172747675</v>
      </c>
      <c r="O7" s="2">
        <f>'102'!N7</f>
        <v>0.79907263816162755</v>
      </c>
      <c r="P7" s="2">
        <f>'102'!O7</f>
        <v>0.80934090550392701</v>
      </c>
      <c r="Q7" s="2">
        <f>'102'!P7</f>
        <v>0.95502411109768159</v>
      </c>
      <c r="R7" s="1">
        <f>'102'!Q7</f>
        <v>0.52495133727181154</v>
      </c>
      <c r="S7" s="2">
        <f>'102'!R7</f>
        <v>0.60452690751733562</v>
      </c>
      <c r="T7" s="2">
        <f>'102'!S7</f>
        <v>0.63252799572803331</v>
      </c>
      <c r="U7" s="2">
        <f>'102'!T7</f>
        <v>0.64123879902021075</v>
      </c>
      <c r="V7" s="2">
        <f>'102'!U7</f>
        <v>0.60101221056598331</v>
      </c>
      <c r="W7" s="2">
        <f>'102'!V7</f>
        <v>0.55892663294269329</v>
      </c>
      <c r="X7" s="2">
        <f>'102'!W7</f>
        <v>0.36856724719951445</v>
      </c>
      <c r="Y7" s="2">
        <f>'102'!X7</f>
        <v>0.45654768234422172</v>
      </c>
      <c r="Z7" s="2">
        <f>'102'!Y7</f>
        <v>0.26151317148933706</v>
      </c>
      <c r="AA7" s="2">
        <f>'102'!Z7</f>
        <v>0.19893905009176338</v>
      </c>
      <c r="AB7" s="2">
        <f>'102'!AA7</f>
        <v>0.70794045540068495</v>
      </c>
      <c r="AC7" s="2">
        <f>'102'!AB7</f>
        <v>0.65743264167774196</v>
      </c>
      <c r="AD7" s="2">
        <f>'102'!AC7</f>
        <v>0.64601808270572514</v>
      </c>
      <c r="AE7" s="2">
        <f>'102'!AD7</f>
        <v>0.63057997505161822</v>
      </c>
      <c r="AF7" s="3">
        <f>'102'!AE7</f>
        <v>0.45506582038463511</v>
      </c>
    </row>
    <row r="8" spans="1:32" x14ac:dyDescent="0.25">
      <c r="A8" s="33"/>
      <c r="B8" s="2">
        <v>6</v>
      </c>
      <c r="C8" s="1">
        <f>'102'!B8</f>
        <v>1.277699946938784</v>
      </c>
      <c r="D8" s="2">
        <f>'102'!C8</f>
        <v>1.3078632087807016</v>
      </c>
      <c r="E8" s="2">
        <f>'102'!D8</f>
        <v>0.77447928520474307</v>
      </c>
      <c r="F8" s="2">
        <f>'102'!E8</f>
        <v>1.2617448817735502</v>
      </c>
      <c r="G8" s="2">
        <f>'102'!F8</f>
        <v>0.80057655118868332</v>
      </c>
      <c r="H8" s="2">
        <f>'102'!G8</f>
        <v>1.1616236548081094</v>
      </c>
      <c r="I8" s="2">
        <f>'102'!H8</f>
        <v>1.4880093193588091</v>
      </c>
      <c r="J8" s="2">
        <f>'102'!I8</f>
        <v>1.1513447210399961</v>
      </c>
      <c r="K8" s="2">
        <f>'102'!J8</f>
        <v>0.98927184840168347</v>
      </c>
      <c r="L8" s="2">
        <f>'102'!K8</f>
        <v>1.2398830050015137</v>
      </c>
      <c r="M8" s="2">
        <f>'102'!L8</f>
        <v>1.3016543937338618</v>
      </c>
      <c r="N8" s="2">
        <f>'102'!M8</f>
        <v>1.1196696885896007</v>
      </c>
      <c r="O8" s="2">
        <f>'102'!N8</f>
        <v>1.1105953279698686</v>
      </c>
      <c r="P8" s="2">
        <f>'102'!O8</f>
        <v>0.68856116091491826</v>
      </c>
      <c r="Q8" s="2">
        <f>'102'!P8</f>
        <v>1.0642171295997744</v>
      </c>
      <c r="R8" s="1">
        <f>'102'!Q8</f>
        <v>0.29737196994235293</v>
      </c>
      <c r="S8" s="2">
        <f>'102'!R8</f>
        <v>0.17749553738347421</v>
      </c>
      <c r="T8" s="2">
        <f>'102'!S8</f>
        <v>0.43749391510441576</v>
      </c>
      <c r="U8" s="2">
        <f>'102'!T8</f>
        <v>7.3329023853324404E-2</v>
      </c>
      <c r="V8" s="2">
        <f>'102'!U8</f>
        <v>0.31391503891667277</v>
      </c>
      <c r="W8" s="2">
        <f>'102'!V8</f>
        <v>5.9229902834462937E-2</v>
      </c>
      <c r="X8" s="2">
        <f>'102'!W8</f>
        <v>8.9783523108522473E-2</v>
      </c>
      <c r="Y8" s="2">
        <f>'102'!X8</f>
        <v>6.6404093282614651E-2</v>
      </c>
      <c r="Z8" s="2">
        <f>'102'!Y8</f>
        <v>0.1125211008034652</v>
      </c>
      <c r="AA8" s="2">
        <f>'102'!Z8</f>
        <v>4.22433072538052E-2</v>
      </c>
      <c r="AB8" s="2">
        <f>'102'!AA8</f>
        <v>4.838801135659164E-2</v>
      </c>
      <c r="AC8" s="2">
        <f>'102'!AB8</f>
        <v>7.3962141209760662E-2</v>
      </c>
      <c r="AD8" s="2">
        <f>'102'!AC8</f>
        <v>6.7480488422412457E-2</v>
      </c>
      <c r="AE8" s="2">
        <f>'102'!AD8</f>
        <v>0.38088718705562741</v>
      </c>
      <c r="AF8" s="3">
        <f>'102'!AE8</f>
        <v>0.1204819346347952</v>
      </c>
    </row>
    <row r="9" spans="1:32" x14ac:dyDescent="0.25">
      <c r="A9" s="33"/>
      <c r="B9" s="2">
        <v>7</v>
      </c>
      <c r="C9" s="1">
        <f>'102'!B9</f>
        <v>0.70925408459316153</v>
      </c>
      <c r="D9" s="2">
        <f>'102'!C9</f>
        <v>0.59434097248675355</v>
      </c>
      <c r="E9" s="2">
        <f>'102'!D9</f>
        <v>0.75011504563638998</v>
      </c>
      <c r="F9" s="2">
        <f>'102'!E9</f>
        <v>0.61058186236258816</v>
      </c>
      <c r="G9" s="2">
        <f>'102'!F9</f>
        <v>0.76673414428606435</v>
      </c>
      <c r="H9" s="2">
        <f>'102'!G9</f>
        <v>0.80046278202841303</v>
      </c>
      <c r="I9" s="2">
        <f>'102'!H9</f>
        <v>0.8825098800603689</v>
      </c>
      <c r="J9" s="2">
        <f>'102'!I9</f>
        <v>0.91892237611962269</v>
      </c>
      <c r="K9" s="2">
        <f>'102'!J9</f>
        <v>0.9236361528437933</v>
      </c>
      <c r="L9" s="2">
        <f>'102'!K9</f>
        <v>0.85631027904560764</v>
      </c>
      <c r="M9" s="2">
        <f>'102'!L9</f>
        <v>0.67222627310725269</v>
      </c>
      <c r="N9" s="2">
        <f>'102'!M9</f>
        <v>0.57321990734650297</v>
      </c>
      <c r="O9" s="2">
        <f>'102'!N9</f>
        <v>0.69696933153230156</v>
      </c>
      <c r="P9" s="2">
        <f>'102'!O9</f>
        <v>0.69624119129538486</v>
      </c>
      <c r="Q9" s="2">
        <f>'102'!P9</f>
        <v>0.90531157079455249</v>
      </c>
      <c r="R9" s="1">
        <f>'102'!Q9</f>
        <v>0.76266561854221837</v>
      </c>
      <c r="S9" s="2">
        <f>'102'!R9</f>
        <v>0.83520426183773644</v>
      </c>
      <c r="T9" s="2">
        <f>'102'!S9</f>
        <v>0.69330130738683438</v>
      </c>
      <c r="U9" s="2">
        <f>'102'!T9</f>
        <v>0.79026854605033914</v>
      </c>
      <c r="V9" s="2">
        <f>'102'!U9</f>
        <v>0.83861415618824586</v>
      </c>
      <c r="W9" s="2">
        <f>'102'!V9</f>
        <v>0.66419734298800326</v>
      </c>
      <c r="X9" s="2">
        <f>'102'!W9</f>
        <v>0.58744800241528861</v>
      </c>
      <c r="Y9" s="2">
        <f>'102'!X9</f>
        <v>0.55785459802405923</v>
      </c>
      <c r="Z9" s="2">
        <f>'102'!Y9</f>
        <v>0.50579768215170595</v>
      </c>
      <c r="AA9" s="2">
        <f>'102'!Z9</f>
        <v>0.6197252452765859</v>
      </c>
      <c r="AB9" s="2">
        <f>'102'!AA9</f>
        <v>0.77640152305958687</v>
      </c>
      <c r="AC9" s="2">
        <f>'102'!AB9</f>
        <v>0.80962627411709254</v>
      </c>
      <c r="AD9" s="2">
        <f>'102'!AC9</f>
        <v>0.71882874624721305</v>
      </c>
      <c r="AE9" s="2">
        <f>'102'!AD9</f>
        <v>0.77076409526195588</v>
      </c>
      <c r="AF9" s="3">
        <f>'102'!AE9</f>
        <v>0.55481081129873089</v>
      </c>
    </row>
    <row r="10" spans="1:32" x14ac:dyDescent="0.25">
      <c r="A10" s="33"/>
      <c r="B10" s="2">
        <v>8</v>
      </c>
      <c r="C10" s="1">
        <f>'102'!B10</f>
        <v>0.80636228531749998</v>
      </c>
      <c r="D10" s="2">
        <f>'102'!C10</f>
        <v>0.74326006905979358</v>
      </c>
      <c r="E10" s="2">
        <f>'102'!D10</f>
        <v>0.52276947363632476</v>
      </c>
      <c r="F10" s="2">
        <f>'102'!E10</f>
        <v>0.61968934067786674</v>
      </c>
      <c r="G10" s="2">
        <f>'102'!F10</f>
        <v>0.72618012485767436</v>
      </c>
      <c r="H10" s="2">
        <f>'102'!G10</f>
        <v>0.54517832069876282</v>
      </c>
      <c r="I10" s="2">
        <f>'102'!H10</f>
        <v>0.69979968639455892</v>
      </c>
      <c r="J10" s="2">
        <f>'102'!I10</f>
        <v>0.61282219654976344</v>
      </c>
      <c r="K10" s="2">
        <f>'102'!J10</f>
        <v>0.78130393212633775</v>
      </c>
      <c r="L10" s="2">
        <f>'102'!K10</f>
        <v>0.73361065339734322</v>
      </c>
      <c r="M10" s="2">
        <f>'102'!L10</f>
        <v>0.79819422247831961</v>
      </c>
      <c r="N10" s="2">
        <f>'102'!M10</f>
        <v>0.71427098926624788</v>
      </c>
      <c r="O10" s="2">
        <f>'102'!N10</f>
        <v>0.71681628360807514</v>
      </c>
      <c r="P10" s="2">
        <f>'102'!O10</f>
        <v>0.55939336625174729</v>
      </c>
      <c r="Q10" s="2">
        <f>'102'!P10</f>
        <v>0.45872237389045267</v>
      </c>
      <c r="R10" s="1">
        <f>'102'!Q10</f>
        <v>0.38490553846599473</v>
      </c>
      <c r="S10" s="2">
        <f>'102'!R10</f>
        <v>0.3719296659224674</v>
      </c>
      <c r="T10" s="2">
        <f>'102'!S10</f>
        <v>0.65837378742144093</v>
      </c>
      <c r="U10" s="2">
        <f>'102'!T10</f>
        <v>0.51834094025444233</v>
      </c>
      <c r="V10" s="2">
        <f>'102'!U10</f>
        <v>0.42780566567119899</v>
      </c>
      <c r="W10" s="2">
        <f>'102'!V10</f>
        <v>0.62804531815406783</v>
      </c>
      <c r="X10" s="2">
        <f>'102'!W10</f>
        <v>0.53766912510928244</v>
      </c>
      <c r="Y10" s="2">
        <f>'102'!X10</f>
        <v>0.55730765645652758</v>
      </c>
      <c r="Z10" s="2">
        <f>'102'!Y10</f>
        <v>0.33169104620069406</v>
      </c>
      <c r="AA10" s="2">
        <f>'102'!Z10</f>
        <v>0.37929659924473286</v>
      </c>
      <c r="AB10" s="2">
        <f>'102'!AA10</f>
        <v>0.37390297837051434</v>
      </c>
      <c r="AC10" s="2">
        <f>'102'!AB10</f>
        <v>0.4185876751076093</v>
      </c>
      <c r="AD10" s="2">
        <f>'102'!AC10</f>
        <v>0.45798868461014236</v>
      </c>
      <c r="AE10" s="2">
        <f>'102'!AD10</f>
        <v>0.60444202980669126</v>
      </c>
      <c r="AF10" s="3">
        <f>'102'!AE10</f>
        <v>0.74147826665250138</v>
      </c>
    </row>
    <row r="11" spans="1:32" x14ac:dyDescent="0.25">
      <c r="A11" s="33"/>
      <c r="B11" s="2">
        <v>9</v>
      </c>
      <c r="C11" s="1">
        <f>'102'!B11</f>
        <v>1.0181374915659984</v>
      </c>
      <c r="D11" s="2">
        <f>'102'!C11</f>
        <v>0.88366639042311479</v>
      </c>
      <c r="E11" s="2">
        <f>'102'!D11</f>
        <v>0.39123929672388486</v>
      </c>
      <c r="F11" s="2">
        <f>'102'!E11</f>
        <v>0.74537141636697901</v>
      </c>
      <c r="G11" s="2">
        <f>'102'!F11</f>
        <v>0.40392584371267953</v>
      </c>
      <c r="H11" s="2">
        <f>'102'!G11</f>
        <v>0.64805639504161461</v>
      </c>
      <c r="I11" s="2">
        <f>'102'!H11</f>
        <v>0.74901530544336459</v>
      </c>
      <c r="J11" s="2">
        <f>'102'!I11</f>
        <v>0.60907799172191412</v>
      </c>
      <c r="K11" s="2">
        <f>'102'!J11</f>
        <v>0.54063135390323969</v>
      </c>
      <c r="L11" s="2">
        <f>'102'!K11</f>
        <v>0.49821366574793985</v>
      </c>
      <c r="M11" s="2">
        <f>'102'!L11</f>
        <v>0.50892729453454355</v>
      </c>
      <c r="N11" s="2">
        <f>'102'!M11</f>
        <v>0.58615649528432245</v>
      </c>
      <c r="O11" s="2">
        <f>'102'!N11</f>
        <v>0.52259808949349384</v>
      </c>
      <c r="P11" s="2">
        <f>'102'!O11</f>
        <v>0.56425378439751439</v>
      </c>
      <c r="Q11" s="2">
        <f>'102'!P11</f>
        <v>0.54666170110468382</v>
      </c>
      <c r="R11" s="1">
        <f>'102'!Q11</f>
        <v>0.54163360007556549</v>
      </c>
      <c r="S11" s="2">
        <f>'102'!R11</f>
        <v>0.75833297909512787</v>
      </c>
      <c r="T11" s="2">
        <f>'102'!S11</f>
        <v>0.75580897855909102</v>
      </c>
      <c r="U11" s="2">
        <f>'102'!T11</f>
        <v>0.71372679404614037</v>
      </c>
      <c r="V11" s="2">
        <f>'102'!U11</f>
        <v>0.71976074306203375</v>
      </c>
      <c r="W11" s="2">
        <f>'102'!V11</f>
        <v>0.71201455767168931</v>
      </c>
      <c r="X11" s="2">
        <f>'102'!W11</f>
        <v>0.59590971614787225</v>
      </c>
      <c r="Y11" s="2">
        <f>'102'!X11</f>
        <v>0.57927799076050412</v>
      </c>
      <c r="Z11" s="2">
        <f>'102'!Y11</f>
        <v>0.48739236412826087</v>
      </c>
      <c r="AA11" s="2">
        <f>'102'!Z11</f>
        <v>0.67055988888165852</v>
      </c>
      <c r="AB11" s="2">
        <f>'102'!AA11</f>
        <v>0.76993204580810926</v>
      </c>
      <c r="AC11" s="2">
        <f>'102'!AB11</f>
        <v>0.73268549812608319</v>
      </c>
      <c r="AD11" s="2">
        <f>'102'!AC11</f>
        <v>0.73368988584275951</v>
      </c>
      <c r="AE11" s="2">
        <f>'102'!AD11</f>
        <v>0.82343246087110489</v>
      </c>
      <c r="AF11" s="3">
        <f>'102'!AE11</f>
        <v>0.78992927885447273</v>
      </c>
    </row>
    <row r="12" spans="1:32" x14ac:dyDescent="0.25">
      <c r="A12" s="34"/>
      <c r="B12" s="8">
        <v>10</v>
      </c>
      <c r="C12" s="1">
        <f>'102'!B12</f>
        <v>0.82025140982841371</v>
      </c>
      <c r="D12" s="2">
        <f>'102'!C12</f>
        <v>0.61011409745575451</v>
      </c>
      <c r="E12" s="2">
        <f>'102'!D12</f>
        <v>0.70683514853677154</v>
      </c>
      <c r="F12" s="2">
        <f>'102'!E12</f>
        <v>0.60874679382639596</v>
      </c>
      <c r="G12" s="2">
        <f>'102'!F12</f>
        <v>0.75296183728105814</v>
      </c>
      <c r="H12" s="2">
        <f>'102'!G12</f>
        <v>0.62809487981375067</v>
      </c>
      <c r="I12" s="2">
        <f>'102'!H12</f>
        <v>0.90697536504113496</v>
      </c>
      <c r="J12" s="2">
        <f>'102'!I12</f>
        <v>0.86048710386966309</v>
      </c>
      <c r="K12" s="2">
        <f>'102'!J12</f>
        <v>0.72901659583241563</v>
      </c>
      <c r="L12" s="2">
        <f>'102'!K12</f>
        <v>0.80332952422402604</v>
      </c>
      <c r="M12" s="2">
        <f>'102'!L12</f>
        <v>0.4524835350019194</v>
      </c>
      <c r="N12" s="2">
        <f>'102'!M12</f>
        <v>0.52697983764363954</v>
      </c>
      <c r="O12" s="2">
        <f>'102'!N12</f>
        <v>0.4846955655167306</v>
      </c>
      <c r="P12" s="2">
        <f>'102'!O12</f>
        <v>0.5056201136678603</v>
      </c>
      <c r="Q12" s="2">
        <f>'102'!P12</f>
        <v>0.5036770295585421</v>
      </c>
      <c r="R12" s="1">
        <f>'102'!Q12</f>
        <v>0.71553968365714893</v>
      </c>
      <c r="S12" s="2">
        <f>'102'!R12</f>
        <v>0.7915424618945649</v>
      </c>
      <c r="T12" s="2">
        <f>'102'!S12</f>
        <v>0.74722518872672405</v>
      </c>
      <c r="U12" s="2">
        <f>'102'!T12</f>
        <v>0.80366298719483198</v>
      </c>
      <c r="V12" s="2">
        <f>'102'!U12</f>
        <v>0.814386898189148</v>
      </c>
      <c r="W12" s="2">
        <f>'102'!V12</f>
        <v>0.82744857539048089</v>
      </c>
      <c r="X12" s="2">
        <f>'102'!W12</f>
        <v>0.7740949471262073</v>
      </c>
      <c r="Y12" s="2">
        <f>'102'!X12</f>
        <v>0.57973620282850058</v>
      </c>
      <c r="Z12" s="2">
        <f>'102'!Y12</f>
        <v>0.75141217549189743</v>
      </c>
      <c r="AA12" s="2">
        <f>'102'!Z12</f>
        <v>0.6809759912105563</v>
      </c>
      <c r="AB12" s="2">
        <f>'102'!AA12</f>
        <v>0.87707127089028813</v>
      </c>
      <c r="AC12" s="2">
        <f>'102'!AB12</f>
        <v>0.83839878702315518</v>
      </c>
      <c r="AD12" s="2">
        <f>'102'!AC12</f>
        <v>0.85913957675824371</v>
      </c>
      <c r="AE12" s="2">
        <f>'102'!AD12</f>
        <v>0.85724969728672196</v>
      </c>
      <c r="AF12" s="3">
        <f>'102'!AE12</f>
        <v>0.87541409375741253</v>
      </c>
    </row>
    <row r="13" spans="1:32" x14ac:dyDescent="0.25">
      <c r="A13" s="32">
        <v>459</v>
      </c>
      <c r="B13" s="5">
        <v>1</v>
      </c>
      <c r="C13" s="4">
        <f>'459'!B3</f>
        <v>1.0110117263239746</v>
      </c>
      <c r="D13" s="5">
        <f>'459'!C3</f>
        <v>1.1050954209152031</v>
      </c>
      <c r="E13" s="5">
        <f>'459'!D3</f>
        <v>1.2437335535801404</v>
      </c>
      <c r="F13" s="5">
        <f>'459'!E3</f>
        <v>1.2678095733577017</v>
      </c>
      <c r="G13" s="5">
        <f>'459'!F3</f>
        <v>1.1920326308141345</v>
      </c>
      <c r="H13" s="5">
        <f>'459'!G3</f>
        <v>1.2107111032521343</v>
      </c>
      <c r="I13" s="5">
        <f>'459'!H3</f>
        <v>1.2476421130329869</v>
      </c>
      <c r="J13" s="5">
        <f>'459'!I3</f>
        <v>1.2590636732641178</v>
      </c>
      <c r="K13" s="5">
        <f>'459'!J3</f>
        <v>1.5273002771579496</v>
      </c>
      <c r="L13" s="5">
        <f>'459'!K3</f>
        <v>1.3808646034914744</v>
      </c>
      <c r="M13" s="5">
        <f>'459'!L3</f>
        <v>1.1694682137091201</v>
      </c>
      <c r="N13" s="5">
        <f>'459'!M3</f>
        <v>1.2243440738409008</v>
      </c>
      <c r="O13" s="5">
        <f>'459'!N3</f>
        <v>1.1169308828173226</v>
      </c>
      <c r="P13" s="5">
        <f>'459'!O3</f>
        <v>1.1517619116152724</v>
      </c>
      <c r="Q13" s="5">
        <f>'459'!P3</f>
        <v>1.1576929404892591</v>
      </c>
      <c r="R13" s="4">
        <f>'459'!Q3</f>
        <v>0.47494995629294129</v>
      </c>
      <c r="S13" s="5">
        <f>'459'!R3</f>
        <v>0.34253705743816115</v>
      </c>
      <c r="T13" s="5">
        <f>'459'!S3</f>
        <v>0.1588737504738256</v>
      </c>
      <c r="U13" s="5">
        <f>'459'!T3</f>
        <v>0.22679544564185092</v>
      </c>
      <c r="V13" s="5">
        <f>'459'!U3</f>
        <v>0.24881684309493735</v>
      </c>
      <c r="W13" s="5">
        <f>'459'!V3</f>
        <v>0.24038643277807653</v>
      </c>
      <c r="X13" s="5">
        <f>'459'!W3</f>
        <v>0.22299027499940857</v>
      </c>
      <c r="Y13" s="5">
        <f>'459'!X3</f>
        <v>0.15226226958773284</v>
      </c>
      <c r="Z13" s="5">
        <f>'459'!Y3</f>
        <v>2.206244495776039E-4</v>
      </c>
      <c r="AA13" s="5">
        <f>'459'!Z3</f>
        <v>3.4370419703846675E-2</v>
      </c>
      <c r="AB13" s="5">
        <f>'459'!AA3</f>
        <v>0.28965618870716903</v>
      </c>
      <c r="AC13" s="5">
        <f>'459'!AB3</f>
        <v>0.24654914813650983</v>
      </c>
      <c r="AD13" s="5">
        <f>'459'!AC3</f>
        <v>0.32937449288979936</v>
      </c>
      <c r="AE13" s="5">
        <f>'459'!AD3</f>
        <v>0.28659363242865321</v>
      </c>
      <c r="AF13" s="6">
        <f>'459'!AE3</f>
        <v>0.2966064441943238</v>
      </c>
    </row>
    <row r="14" spans="1:32" x14ac:dyDescent="0.25">
      <c r="A14" s="33"/>
      <c r="B14" s="2">
        <v>2</v>
      </c>
      <c r="C14" s="1">
        <f>'459'!B4</f>
        <v>0.77172027756510753</v>
      </c>
      <c r="D14" s="2">
        <f>'459'!C4</f>
        <v>0.72566266901008036</v>
      </c>
      <c r="E14" s="2">
        <f>'459'!D4</f>
        <v>0.87634704405361008</v>
      </c>
      <c r="F14" s="2">
        <f>'459'!E4</f>
        <v>0.66675356622587079</v>
      </c>
      <c r="G14" s="2">
        <f>'459'!F4</f>
        <v>0.87212405399494819</v>
      </c>
      <c r="H14" s="2">
        <f>'459'!G4</f>
        <v>1.188381593353786</v>
      </c>
      <c r="I14" s="2">
        <f>'459'!H4</f>
        <v>0.84162760869975428</v>
      </c>
      <c r="J14" s="2">
        <f>'459'!I4</f>
        <v>0.79557545110530947</v>
      </c>
      <c r="K14" s="2">
        <f>'459'!J4</f>
        <v>0.85630709522762138</v>
      </c>
      <c r="L14" s="2">
        <f>'459'!K4</f>
        <v>0.8419359417720963</v>
      </c>
      <c r="M14" s="2">
        <f>'459'!L4</f>
        <v>0.86028683332067613</v>
      </c>
      <c r="N14" s="2">
        <f>'459'!M4</f>
        <v>0.65690588527130989</v>
      </c>
      <c r="O14" s="2">
        <f>'459'!N4</f>
        <v>0.69709470407261265</v>
      </c>
      <c r="P14" s="2">
        <f>'459'!O4</f>
        <v>0.81024109422556045</v>
      </c>
      <c r="Q14" s="2">
        <f>'459'!P4</f>
        <v>0.82782455495392671</v>
      </c>
      <c r="R14" s="1">
        <f>'459'!Q4</f>
        <v>0.58843096775729886</v>
      </c>
      <c r="S14" s="2">
        <f>'459'!R4</f>
        <v>0.64166124053195051</v>
      </c>
      <c r="T14" s="2">
        <f>'459'!S4</f>
        <v>0.46898658565846296</v>
      </c>
      <c r="U14" s="2">
        <f>'459'!T4</f>
        <v>0.73776137121347818</v>
      </c>
      <c r="V14" s="2">
        <f>'459'!U4</f>
        <v>0.71415147838411974</v>
      </c>
      <c r="W14" s="2">
        <f>'459'!V4</f>
        <v>0.10970018097728003</v>
      </c>
      <c r="X14" s="2">
        <f>'459'!W4</f>
        <v>0.55403165149347544</v>
      </c>
      <c r="Y14" s="2">
        <f>'459'!X4</f>
        <v>0.65349006500383355</v>
      </c>
      <c r="Z14" s="2">
        <f>'459'!Y4</f>
        <v>0.54892253209475816</v>
      </c>
      <c r="AA14" s="2">
        <f>'459'!Z4</f>
        <v>0.56791878485959624</v>
      </c>
      <c r="AB14" s="2">
        <f>'459'!AA4</f>
        <v>0.52011501163730278</v>
      </c>
      <c r="AC14" s="2">
        <f>'459'!AB4</f>
        <v>0.72147975768167683</v>
      </c>
      <c r="AD14" s="2">
        <f>'459'!AC4</f>
        <v>0.67698705527045555</v>
      </c>
      <c r="AE14" s="2">
        <f>'459'!AD4</f>
        <v>0.57173952743693568</v>
      </c>
      <c r="AF14" s="3">
        <f>'459'!AE4</f>
        <v>0.54741228106406459</v>
      </c>
    </row>
    <row r="15" spans="1:32" x14ac:dyDescent="0.25">
      <c r="A15" s="33"/>
      <c r="B15" s="2">
        <v>3</v>
      </c>
      <c r="C15" s="1">
        <f>'459'!B5</f>
        <v>1.2204063919298798</v>
      </c>
      <c r="D15" s="2">
        <f>'459'!C5</f>
        <v>0.98630266654308507</v>
      </c>
      <c r="E15" s="2">
        <f>'459'!D5</f>
        <v>1.1390039070316256</v>
      </c>
      <c r="F15" s="2">
        <f>'459'!E5</f>
        <v>0.89430091376741361</v>
      </c>
      <c r="G15" s="2">
        <f>'459'!F5</f>
        <v>1.2546549223089498</v>
      </c>
      <c r="H15" s="2">
        <f>'459'!G5</f>
        <v>0.91536555471482794</v>
      </c>
      <c r="I15" s="2">
        <f>'459'!H5</f>
        <v>0.90117543358937613</v>
      </c>
      <c r="J15" s="2">
        <f>'459'!I5</f>
        <v>1.1797819104930432</v>
      </c>
      <c r="K15" s="2">
        <f>'459'!J5</f>
        <v>1.2580602901603051</v>
      </c>
      <c r="L15" s="2">
        <f>'459'!K5</f>
        <v>1.1330497359745513</v>
      </c>
      <c r="M15" s="2">
        <f>'459'!L5</f>
        <v>0.96417172022606645</v>
      </c>
      <c r="N15" s="2">
        <f>'459'!M5</f>
        <v>0.88413242122019953</v>
      </c>
      <c r="O15" s="2">
        <f>'459'!N5</f>
        <v>0.91412922124458473</v>
      </c>
      <c r="P15" s="2">
        <f>'459'!O5</f>
        <v>0.89803746223588965</v>
      </c>
      <c r="Q15" s="2">
        <f>'459'!P5</f>
        <v>0.98047204298322166</v>
      </c>
      <c r="R15" s="1">
        <f>'459'!Q5</f>
        <v>0.58565380557239</v>
      </c>
      <c r="S15" s="2">
        <f>'459'!R5</f>
        <v>0.66816017628292179</v>
      </c>
      <c r="T15" s="2">
        <f>'459'!S5</f>
        <v>0.63575838422972908</v>
      </c>
      <c r="U15" s="2">
        <f>'459'!T5</f>
        <v>0.73540630989489442</v>
      </c>
      <c r="V15" s="2">
        <f>'459'!U5</f>
        <v>0.7920712132313984</v>
      </c>
      <c r="W15" s="2">
        <f>'459'!V5</f>
        <v>0.76023292511808493</v>
      </c>
      <c r="X15" s="2">
        <f>'459'!W5</f>
        <v>0.72191926176170473</v>
      </c>
      <c r="Y15" s="2">
        <f>'459'!X5</f>
        <v>0.56226132575297783</v>
      </c>
      <c r="Z15" s="2">
        <f>'459'!Y5</f>
        <v>0.56567953412991401</v>
      </c>
      <c r="AA15" s="2">
        <f>'459'!Z5</f>
        <v>0.6756898044661358</v>
      </c>
      <c r="AB15" s="2">
        <f>'459'!AA5</f>
        <v>0.7134513796859322</v>
      </c>
      <c r="AC15" s="2">
        <f>'459'!AB5</f>
        <v>0.77119738426765772</v>
      </c>
      <c r="AD15" s="2">
        <f>'459'!AC5</f>
        <v>0.73120573325075866</v>
      </c>
      <c r="AE15" s="2">
        <f>'459'!AD5</f>
        <v>0.7316579707334685</v>
      </c>
      <c r="AF15" s="3">
        <f>'459'!AE5</f>
        <v>0.68249957422652852</v>
      </c>
    </row>
    <row r="16" spans="1:32" x14ac:dyDescent="0.25">
      <c r="A16" s="33"/>
      <c r="B16" s="2">
        <v>4</v>
      </c>
      <c r="C16" s="1">
        <f>'459'!B6</f>
        <v>2.3449519748607681</v>
      </c>
      <c r="D16" s="2">
        <f>'459'!C6</f>
        <v>0.96035173356037462</v>
      </c>
      <c r="E16" s="2">
        <f>'459'!D6</f>
        <v>1.7829693263388606</v>
      </c>
      <c r="F16" s="2">
        <f>'459'!E6</f>
        <v>1.240711707102218</v>
      </c>
      <c r="G16" s="2">
        <f>'459'!F6</f>
        <v>1.7468594439137533</v>
      </c>
      <c r="H16" s="2">
        <f>'459'!G6</f>
        <v>1.3054420753031009</v>
      </c>
      <c r="I16" s="2">
        <f>'459'!H6</f>
        <v>1.8316501227507263</v>
      </c>
      <c r="J16" s="2">
        <f>'459'!I6</f>
        <v>1.4069593692309195</v>
      </c>
      <c r="K16" s="2">
        <f>'459'!J6</f>
        <v>1.542297161027721</v>
      </c>
      <c r="L16" s="2">
        <f>'459'!K6</f>
        <v>1.4662610240530163</v>
      </c>
      <c r="M16" s="2">
        <f>'459'!L6</f>
        <v>1.3013872652517133</v>
      </c>
      <c r="N16" s="2">
        <f>'459'!M6</f>
        <v>1.1606272449109145</v>
      </c>
      <c r="O16" s="2">
        <f>'459'!N6</f>
        <v>1.1951255382304335</v>
      </c>
      <c r="P16" s="2">
        <f>'459'!O6</f>
        <v>1.0692190157421366</v>
      </c>
      <c r="Q16" s="2">
        <f>'459'!P6</f>
        <v>0.87460156766128838</v>
      </c>
      <c r="R16" s="1">
        <f>'459'!Q6</f>
        <v>2.1086323093104003E-3</v>
      </c>
      <c r="S16" s="2">
        <f>'459'!R6</f>
        <v>0.79876036447327237</v>
      </c>
      <c r="T16" s="2">
        <f>'459'!S6</f>
        <v>0.2252176867246998</v>
      </c>
      <c r="U16" s="2">
        <f>'459'!T6</f>
        <v>0.63425310334020168</v>
      </c>
      <c r="V16" s="2">
        <f>'459'!U6</f>
        <v>0.3723319285387654</v>
      </c>
      <c r="W16" s="2">
        <f>'459'!V6</f>
        <v>0.65709407462439828</v>
      </c>
      <c r="X16" s="2">
        <f>'459'!W6</f>
        <v>0.17838425583453085</v>
      </c>
      <c r="Y16" s="2">
        <f>'459'!X6</f>
        <v>0.57139365691245803</v>
      </c>
      <c r="Z16" s="2">
        <f>'459'!Y6</f>
        <v>0.61336983927156952</v>
      </c>
      <c r="AA16" s="2">
        <f>'459'!Z6</f>
        <v>0.66571384236336872</v>
      </c>
      <c r="AB16" s="2">
        <f>'459'!AA6</f>
        <v>0.58424107191106134</v>
      </c>
      <c r="AC16" s="2">
        <f>'459'!AB6</f>
        <v>0.7073886826771959</v>
      </c>
      <c r="AD16" s="2">
        <f>'459'!AC6</f>
        <v>0.70329600884922161</v>
      </c>
      <c r="AE16" s="2">
        <f>'459'!AD6</f>
        <v>0.76905425397984517</v>
      </c>
      <c r="AF16" s="3">
        <f>'459'!AE6</f>
        <v>0.83558787102915566</v>
      </c>
    </row>
    <row r="17" spans="1:32" x14ac:dyDescent="0.25">
      <c r="A17" s="33"/>
      <c r="B17" s="2">
        <v>5</v>
      </c>
      <c r="C17" s="1">
        <f>'459'!B7</f>
        <v>1.1023714510282669</v>
      </c>
      <c r="D17" s="2">
        <f>'459'!C7</f>
        <v>0.94564467832144494</v>
      </c>
      <c r="E17" s="2">
        <f>'459'!D7</f>
        <v>1.0585712080810468</v>
      </c>
      <c r="F17" s="2">
        <f>'459'!E7</f>
        <v>1.2614865102291355</v>
      </c>
      <c r="G17" s="2">
        <f>'459'!F7</f>
        <v>0.77119104988793152</v>
      </c>
      <c r="H17" s="2">
        <f>'459'!G7</f>
        <v>1.1247196731787215</v>
      </c>
      <c r="I17" s="2">
        <f>'459'!H7</f>
        <v>1.8198128467731782</v>
      </c>
      <c r="J17" s="2">
        <f>'459'!I7</f>
        <v>1.0581742622327543</v>
      </c>
      <c r="K17" s="2">
        <f>'459'!J7</f>
        <v>0.86493296715063428</v>
      </c>
      <c r="L17" s="2">
        <f>'459'!K7</f>
        <v>0.96000225786370774</v>
      </c>
      <c r="M17" s="2">
        <f>'459'!L7</f>
        <v>0.89012528731367369</v>
      </c>
      <c r="N17" s="2">
        <f>'459'!M7</f>
        <v>0.94707494561210681</v>
      </c>
      <c r="O17" s="2">
        <f>'459'!N7</f>
        <v>0.95343280209046888</v>
      </c>
      <c r="P17" s="2">
        <f>'459'!O7</f>
        <v>1.2001351967142424</v>
      </c>
      <c r="Q17" s="2">
        <f>'459'!P7</f>
        <v>1.2579831098780732</v>
      </c>
      <c r="R17" s="1">
        <f>'459'!Q7</f>
        <v>0.27934513036826675</v>
      </c>
      <c r="S17" s="2">
        <f>'459'!R7</f>
        <v>0.53498092510798767</v>
      </c>
      <c r="T17" s="2">
        <f>'459'!S7</f>
        <v>9.8831821503891346E-2</v>
      </c>
      <c r="U17" s="2">
        <f>'459'!T7</f>
        <v>0.29796850289790888</v>
      </c>
      <c r="V17" s="2">
        <f>'459'!U7</f>
        <v>0.41441133066761154</v>
      </c>
      <c r="W17" s="2">
        <f>'459'!V7</f>
        <v>0.26682946126864804</v>
      </c>
      <c r="X17" s="2">
        <f>'459'!W7</f>
        <v>3.1989323931334E-4</v>
      </c>
      <c r="Y17" s="2">
        <f>'459'!X7</f>
        <v>9.66770861877915E-2</v>
      </c>
      <c r="Z17" s="2">
        <f>'459'!Y7</f>
        <v>0.26188236686783972</v>
      </c>
      <c r="AA17" s="2">
        <f>'459'!Z7</f>
        <v>0.13324161413696273</v>
      </c>
      <c r="AB17" s="2">
        <f>'459'!AA7</f>
        <v>0.41232159825194575</v>
      </c>
      <c r="AC17" s="2">
        <f>'459'!AB7</f>
        <v>0.4948035804169435</v>
      </c>
      <c r="AD17" s="2">
        <f>'459'!AC7</f>
        <v>0.41174093581452187</v>
      </c>
      <c r="AE17" s="2">
        <f>'459'!AD7</f>
        <v>0.17328839082513003</v>
      </c>
      <c r="AF17" s="3">
        <f>'459'!AE7</f>
        <v>0.1558382470679863</v>
      </c>
    </row>
    <row r="18" spans="1:32" x14ac:dyDescent="0.25">
      <c r="A18" s="33"/>
      <c r="B18" s="2">
        <v>6</v>
      </c>
      <c r="C18" s="1">
        <f>'459'!B8</f>
        <v>1.1448525400067542</v>
      </c>
      <c r="D18" s="2">
        <f>'459'!C8</f>
        <v>0.8237876798486975</v>
      </c>
      <c r="E18" s="2">
        <f>'459'!D8</f>
        <v>0.71258060018767944</v>
      </c>
      <c r="F18" s="2">
        <f>'459'!E8</f>
        <v>0.79307534976208272</v>
      </c>
      <c r="G18" s="2">
        <f>'459'!F8</f>
        <v>1.0927902135092842</v>
      </c>
      <c r="H18" s="2">
        <f>'459'!G8</f>
        <v>0.78829964015631981</v>
      </c>
      <c r="I18" s="2">
        <f>'459'!H8</f>
        <v>0.88020947399776184</v>
      </c>
      <c r="J18" s="2">
        <f>'459'!I8</f>
        <v>0.99092051070666942</v>
      </c>
      <c r="K18" s="2">
        <f>'459'!J8</f>
        <v>0.98032000004760345</v>
      </c>
      <c r="L18" s="2">
        <f>'459'!K8</f>
        <v>0.9282269937832196</v>
      </c>
      <c r="M18" s="2">
        <f>'459'!L8</f>
        <v>0.6989811721832474</v>
      </c>
      <c r="N18" s="2">
        <f>'459'!M8</f>
        <v>0.81048974799952478</v>
      </c>
      <c r="O18" s="2">
        <f>'459'!N8</f>
        <v>0.81729470879659849</v>
      </c>
      <c r="P18" s="2">
        <f>'459'!O8</f>
        <v>0.76304947103306042</v>
      </c>
      <c r="Q18" s="2">
        <f>'459'!P8</f>
        <v>0.62368777059138347</v>
      </c>
      <c r="R18" s="1">
        <f>'459'!Q8</f>
        <v>0.36050000610611466</v>
      </c>
      <c r="S18" s="2">
        <f>'459'!R8</f>
        <v>0.6663047783345164</v>
      </c>
      <c r="T18" s="2">
        <f>'459'!S8</f>
        <v>0.85607810010133834</v>
      </c>
      <c r="U18" s="2">
        <f>'459'!T8</f>
        <v>0.78315251124353413</v>
      </c>
      <c r="V18" s="2">
        <f>'459'!U8</f>
        <v>0.71165487216379852</v>
      </c>
      <c r="W18" s="2">
        <f>'459'!V8</f>
        <v>0.69924400859223079</v>
      </c>
      <c r="X18" s="2">
        <f>'459'!W8</f>
        <v>0.61543004922218214</v>
      </c>
      <c r="Y18" s="2">
        <f>'459'!X8</f>
        <v>0.78693239660781666</v>
      </c>
      <c r="Z18" s="2">
        <f>'459'!Y8</f>
        <v>0.79398652731474006</v>
      </c>
      <c r="AA18" s="2">
        <f>'459'!Z8</f>
        <v>0.83839382397091933</v>
      </c>
      <c r="AB18" s="2">
        <f>'459'!AA8</f>
        <v>0.80508632721105722</v>
      </c>
      <c r="AC18" s="2">
        <f>'459'!AB8</f>
        <v>0.6734812877539802</v>
      </c>
      <c r="AD18" s="2">
        <f>'459'!AC8</f>
        <v>0.66456846310328588</v>
      </c>
      <c r="AE18" s="2">
        <f>'459'!AD8</f>
        <v>0.760806939514312</v>
      </c>
      <c r="AF18" s="3">
        <f>'459'!AE8</f>
        <v>0.90788571505474214</v>
      </c>
    </row>
    <row r="19" spans="1:32" x14ac:dyDescent="0.25">
      <c r="A19" s="33"/>
      <c r="B19" s="2">
        <v>7</v>
      </c>
      <c r="C19" s="1">
        <f>'459'!B9</f>
        <v>1.3017050864439945</v>
      </c>
      <c r="D19" s="2">
        <f>'459'!C9</f>
        <v>0.98496096113589726</v>
      </c>
      <c r="E19" s="2">
        <f>'459'!D9</f>
        <v>1.1267402608578798</v>
      </c>
      <c r="F19" s="2">
        <f>'459'!E9</f>
        <v>0.91986127121321937</v>
      </c>
      <c r="G19" s="2">
        <f>'459'!F9</f>
        <v>1.1564450104573356</v>
      </c>
      <c r="H19" s="2">
        <f>'459'!G9</f>
        <v>0.92857318160197622</v>
      </c>
      <c r="I19" s="2">
        <f>'459'!H9</f>
        <v>1.3113180070633452</v>
      </c>
      <c r="J19" s="2">
        <f>'459'!I9</f>
        <v>1.0805382612289427</v>
      </c>
      <c r="K19" s="2">
        <f>'459'!J9</f>
        <v>1.608680099500545</v>
      </c>
      <c r="L19" s="2">
        <f>'459'!K9</f>
        <v>1.3489817426763664</v>
      </c>
      <c r="M19" s="2">
        <f>'459'!L9</f>
        <v>1.2726129958295453</v>
      </c>
      <c r="N19" s="2">
        <f>'459'!M9</f>
        <v>1.0363025526267655</v>
      </c>
      <c r="O19" s="2">
        <f>'459'!N9</f>
        <v>0.950415959627678</v>
      </c>
      <c r="P19" s="2">
        <f>'459'!O9</f>
        <v>0.99667600997749861</v>
      </c>
      <c r="Q19" s="2">
        <f>'459'!P9</f>
        <v>0.84266253229124888</v>
      </c>
      <c r="R19" s="1">
        <f>'459'!Q9</f>
        <v>0.35098446063990946</v>
      </c>
      <c r="S19" s="2">
        <f>'459'!R9</f>
        <v>0.61979993843545533</v>
      </c>
      <c r="T19" s="2">
        <f>'459'!S9</f>
        <v>0.54674307992465931</v>
      </c>
      <c r="U19" s="2">
        <f>'459'!T9</f>
        <v>0.69492316628656292</v>
      </c>
      <c r="V19" s="2">
        <f>'459'!U9</f>
        <v>0.66865520809771317</v>
      </c>
      <c r="W19" s="2">
        <f>'459'!V9</f>
        <v>0.67822209033863501</v>
      </c>
      <c r="X19" s="2">
        <f>'459'!W9</f>
        <v>0.33247305462575683</v>
      </c>
      <c r="Y19" s="2">
        <f>'459'!X9</f>
        <v>0.68846816398373067</v>
      </c>
      <c r="Z19" s="2">
        <f>'459'!Y9</f>
        <v>3.7298542735227452E-2</v>
      </c>
      <c r="AA19" s="2">
        <f>'459'!Z9</f>
        <v>0.25931783354450172</v>
      </c>
      <c r="AB19" s="2">
        <f>'459'!AA9</f>
        <v>0.49308213554026253</v>
      </c>
      <c r="AC19" s="2">
        <f>'459'!AB9</f>
        <v>0.55734373818074034</v>
      </c>
      <c r="AD19" s="2">
        <f>'459'!AC9</f>
        <v>0.64514788078481933</v>
      </c>
      <c r="AE19" s="2">
        <f>'459'!AD9</f>
        <v>0.70572020259658197</v>
      </c>
      <c r="AF19" s="3">
        <f>'459'!AE9</f>
        <v>0.85772589204786431</v>
      </c>
    </row>
    <row r="20" spans="1:32" x14ac:dyDescent="0.25">
      <c r="A20" s="33"/>
      <c r="B20" s="2">
        <v>8</v>
      </c>
      <c r="C20" s="1">
        <f>'459'!B10</f>
        <v>0.97517889607595754</v>
      </c>
      <c r="D20" s="2">
        <f>'459'!C10</f>
        <v>0.53281366500414939</v>
      </c>
      <c r="E20" s="2">
        <f>'459'!D10</f>
        <v>0.77627990273547598</v>
      </c>
      <c r="F20" s="2">
        <f>'459'!E10</f>
        <v>0.50145890494344281</v>
      </c>
      <c r="G20" s="2">
        <f>'459'!F10</f>
        <v>0.7622481247330668</v>
      </c>
      <c r="H20" s="2">
        <f>'459'!G10</f>
        <v>0.70074936779153141</v>
      </c>
      <c r="I20" s="2">
        <f>'459'!H10</f>
        <v>1.2890184200404646</v>
      </c>
      <c r="J20" s="2">
        <f>'459'!I10</f>
        <v>0.87033228808303209</v>
      </c>
      <c r="K20" s="2">
        <f>'459'!J10</f>
        <v>0.80679071838150085</v>
      </c>
      <c r="L20" s="2">
        <f>'459'!K10</f>
        <v>0.77345844826378063</v>
      </c>
      <c r="M20" s="2">
        <f>'459'!L10</f>
        <v>0.5093253698486474</v>
      </c>
      <c r="N20" s="2">
        <f>'459'!M10</f>
        <v>0.5296282609858034</v>
      </c>
      <c r="O20" s="2">
        <f>'459'!N10</f>
        <v>0.54963150108630465</v>
      </c>
      <c r="P20" s="2">
        <f>'459'!O10</f>
        <v>0.74497669717711512</v>
      </c>
      <c r="Q20" s="2">
        <f>'459'!P10</f>
        <v>0.91475706467513929</v>
      </c>
      <c r="R20" s="1">
        <f>'459'!Q10</f>
        <v>0.33782178287265596</v>
      </c>
      <c r="S20" s="2">
        <f>'459'!R10</f>
        <v>0.80746733705438245</v>
      </c>
      <c r="T20" s="2">
        <f>'459'!S10</f>
        <v>0.58581524855900435</v>
      </c>
      <c r="U20" s="2">
        <f>'459'!T10</f>
        <v>0.83710923892004352</v>
      </c>
      <c r="V20" s="2">
        <f>'459'!U10</f>
        <v>0.82090914950050031</v>
      </c>
      <c r="W20" s="2">
        <f>'459'!V10</f>
        <v>0.69831174525553108</v>
      </c>
      <c r="X20" s="2">
        <f>'459'!W10</f>
        <v>0.46072674284422477</v>
      </c>
      <c r="Y20" s="2">
        <f>'459'!X10</f>
        <v>0.47732488104528564</v>
      </c>
      <c r="Z20" s="2">
        <f>'459'!Y10</f>
        <v>0.61405179162522794</v>
      </c>
      <c r="AA20" s="2">
        <f>'459'!Z10</f>
        <v>0.61628686579460679</v>
      </c>
      <c r="AB20" s="2">
        <f>'459'!AA10</f>
        <v>0.8264155022051306</v>
      </c>
      <c r="AC20" s="2">
        <f>'459'!AB10</f>
        <v>0.81169836988757071</v>
      </c>
      <c r="AD20" s="2">
        <f>'459'!AC10</f>
        <v>0.79132973709166676</v>
      </c>
      <c r="AE20" s="2">
        <f>'459'!AD10</f>
        <v>0.65003952091431461</v>
      </c>
      <c r="AF20" s="3">
        <f>'459'!AE10</f>
        <v>0.50314939021294491</v>
      </c>
    </row>
    <row r="21" spans="1:32" x14ac:dyDescent="0.25">
      <c r="A21" s="33"/>
      <c r="B21" s="2">
        <v>9</v>
      </c>
      <c r="C21" s="1">
        <f>'459'!B11</f>
        <v>0.79528440157405345</v>
      </c>
      <c r="D21" s="2">
        <f>'459'!C11</f>
        <v>0.85343351634334508</v>
      </c>
      <c r="E21" s="2">
        <f>'459'!D11</f>
        <v>0.82401979212688437</v>
      </c>
      <c r="F21" s="2">
        <f>'459'!E11</f>
        <v>0.82032953326950675</v>
      </c>
      <c r="G21" s="2">
        <f>'459'!F11</f>
        <v>0.8401778557134002</v>
      </c>
      <c r="H21" s="2">
        <f>'459'!G11</f>
        <v>0.74924914322651504</v>
      </c>
      <c r="I21" s="2">
        <f>'459'!H11</f>
        <v>1.1569915914151379</v>
      </c>
      <c r="J21" s="2">
        <f>'459'!I11</f>
        <v>0.84986783286187129</v>
      </c>
      <c r="K21" s="2">
        <f>'459'!J11</f>
        <v>0.83203967290583569</v>
      </c>
      <c r="L21" s="2">
        <f>'459'!K11</f>
        <v>0.86968829819975368</v>
      </c>
      <c r="M21" s="2">
        <f>'459'!L11</f>
        <v>0.78010283802612634</v>
      </c>
      <c r="N21" s="2">
        <f>'459'!M11</f>
        <v>0.8215799616686742</v>
      </c>
      <c r="O21" s="2">
        <f>'459'!N11</f>
        <v>0.80252718389524558</v>
      </c>
      <c r="P21" s="2">
        <f>'459'!O11</f>
        <v>0.73658051088905652</v>
      </c>
      <c r="Q21" s="2">
        <f>'459'!P11</f>
        <v>0.75776158412980832</v>
      </c>
      <c r="R21" s="1">
        <f>'459'!Q11</f>
        <v>0.59428215099359605</v>
      </c>
      <c r="S21" s="2">
        <f>'459'!R11</f>
        <v>0.47192425684428929</v>
      </c>
      <c r="T21" s="2">
        <f>'459'!S11</f>
        <v>0.59077871577791286</v>
      </c>
      <c r="U21" s="2">
        <f>'459'!T11</f>
        <v>0.53423139569003308</v>
      </c>
      <c r="V21" s="2">
        <f>'459'!U11</f>
        <v>0.50105356673773183</v>
      </c>
      <c r="W21" s="2">
        <f>'459'!V11</f>
        <v>0.61535899314968978</v>
      </c>
      <c r="X21" s="2">
        <f>'459'!W11</f>
        <v>0.37150704622488662</v>
      </c>
      <c r="Y21" s="2">
        <f>'459'!X11</f>
        <v>0.54111252272294375</v>
      </c>
      <c r="Z21" s="2">
        <f>'459'!Y11</f>
        <v>0.71241804989884838</v>
      </c>
      <c r="AA21" s="2">
        <f>'459'!Z11</f>
        <v>0.58850652932973302</v>
      </c>
      <c r="AB21" s="2">
        <f>'459'!AA11</f>
        <v>0.61316781789997299</v>
      </c>
      <c r="AC21" s="2">
        <f>'459'!AB11</f>
        <v>0.49704578387263537</v>
      </c>
      <c r="AD21" s="2">
        <f>'459'!AC11</f>
        <v>0.51834249781667274</v>
      </c>
      <c r="AE21" s="2">
        <f>'459'!AD11</f>
        <v>0.64524732814285879</v>
      </c>
      <c r="AF21" s="3">
        <f>'459'!AE11</f>
        <v>0.65501006400413098</v>
      </c>
    </row>
    <row r="22" spans="1:32" x14ac:dyDescent="0.25">
      <c r="A22" s="34"/>
      <c r="B22" s="8">
        <v>10</v>
      </c>
      <c r="C22" s="1">
        <f>'459'!B12</f>
        <v>0.87680974494917274</v>
      </c>
      <c r="D22" s="2">
        <f>'459'!C12</f>
        <v>0.72579853809281458</v>
      </c>
      <c r="E22" s="2">
        <f>'459'!D12</f>
        <v>0.68785324334700926</v>
      </c>
      <c r="F22" s="2">
        <f>'459'!E12</f>
        <v>0.81499757550881702</v>
      </c>
      <c r="G22" s="2">
        <f>'459'!F12</f>
        <v>0.85031936991751322</v>
      </c>
      <c r="H22" s="2">
        <f>'459'!G12</f>
        <v>0.72473915105781339</v>
      </c>
      <c r="I22" s="2">
        <f>'459'!H12</f>
        <v>0.80454324164744762</v>
      </c>
      <c r="J22" s="2">
        <f>'459'!I12</f>
        <v>0.74016891218930558</v>
      </c>
      <c r="K22" s="2">
        <f>'459'!J12</f>
        <v>0.97751740797559894</v>
      </c>
      <c r="L22" s="2">
        <f>'459'!K12</f>
        <v>0.91173952577888162</v>
      </c>
      <c r="M22" s="2">
        <f>'459'!L12</f>
        <v>0.79129110892283716</v>
      </c>
      <c r="N22" s="2">
        <f>'459'!M12</f>
        <v>0.76670299487415594</v>
      </c>
      <c r="O22" s="2">
        <f>'459'!N12</f>
        <v>0.78950874342730781</v>
      </c>
      <c r="P22" s="2">
        <f>'459'!O12</f>
        <v>0.71438992326757389</v>
      </c>
      <c r="Q22" s="2">
        <f>'459'!P12</f>
        <v>0.69929125998923591</v>
      </c>
      <c r="R22" s="1">
        <f>'459'!Q12</f>
        <v>0.52840593086675747</v>
      </c>
      <c r="S22" s="2">
        <f>'459'!R12</f>
        <v>0.68328957329737827</v>
      </c>
      <c r="T22" s="2">
        <f>'459'!S12</f>
        <v>0.68867488041833136</v>
      </c>
      <c r="U22" s="2">
        <f>'459'!T12</f>
        <v>0.54819814650566967</v>
      </c>
      <c r="V22" s="2">
        <f>'459'!U12</f>
        <v>0.66696679888484389</v>
      </c>
      <c r="W22" s="2">
        <f>'459'!V12</f>
        <v>0.65145660028937802</v>
      </c>
      <c r="X22" s="2">
        <f>'459'!W12</f>
        <v>0.59490998555236096</v>
      </c>
      <c r="Y22" s="2">
        <f>'459'!X12</f>
        <v>0.70512881197066579</v>
      </c>
      <c r="Z22" s="2">
        <f>'459'!Y12</f>
        <v>0.35651413442203217</v>
      </c>
      <c r="AA22" s="2">
        <f>'459'!Z12</f>
        <v>0.47825404473460659</v>
      </c>
      <c r="AB22" s="2">
        <f>'459'!AA12</f>
        <v>0.59972639412993534</v>
      </c>
      <c r="AC22" s="2">
        <f>'459'!AB12</f>
        <v>0.64207445582982714</v>
      </c>
      <c r="AD22" s="2">
        <f>'459'!AC12</f>
        <v>0.60461222268409121</v>
      </c>
      <c r="AE22" s="2">
        <f>'459'!AD12</f>
        <v>0.67940078208794052</v>
      </c>
      <c r="AF22" s="3">
        <f>'459'!AE12</f>
        <v>0.72462860458882339</v>
      </c>
    </row>
    <row r="23" spans="1:32" x14ac:dyDescent="0.25">
      <c r="A23" s="32">
        <v>854</v>
      </c>
      <c r="B23" s="5">
        <v>1</v>
      </c>
      <c r="C23" s="4">
        <f>'854'!B3</f>
        <v>0.57481938532558496</v>
      </c>
      <c r="D23" s="5">
        <f>'854'!C3</f>
        <v>0.9121311513503233</v>
      </c>
      <c r="E23" s="5">
        <f>'854'!D3</f>
        <v>0.80821936244731851</v>
      </c>
      <c r="F23" s="5">
        <f>'854'!E3</f>
        <v>0.89730891520103062</v>
      </c>
      <c r="G23" s="5">
        <f>'854'!F3</f>
        <v>0.81000779231164388</v>
      </c>
      <c r="H23" s="5">
        <f>'854'!G3</f>
        <v>0.81516247996927993</v>
      </c>
      <c r="I23" s="5">
        <f>'854'!H3</f>
        <v>1.1358113127667082</v>
      </c>
      <c r="J23" s="5">
        <f>'854'!I3</f>
        <v>0.75346953046114173</v>
      </c>
      <c r="K23" s="5">
        <f>'854'!J3</f>
        <v>0.73054954409169504</v>
      </c>
      <c r="L23" s="5">
        <f>'854'!K3</f>
        <v>0.87146435309526571</v>
      </c>
      <c r="M23" s="5">
        <f>'854'!L3</f>
        <v>0.80497211899481336</v>
      </c>
      <c r="N23" s="5">
        <f>'854'!M3</f>
        <v>0.79254300764569452</v>
      </c>
      <c r="O23" s="5">
        <f>'854'!N3</f>
        <v>0.78579229417024266</v>
      </c>
      <c r="P23" s="5">
        <f>'854'!O3</f>
        <v>0.73671395628482106</v>
      </c>
      <c r="Q23" s="5">
        <f>'854'!P3</f>
        <v>0.90600242568190736</v>
      </c>
      <c r="R23" s="4">
        <f>'854'!Q3</f>
        <v>0.74466095419999268</v>
      </c>
      <c r="S23" s="5">
        <f>'854'!R3</f>
        <v>0.43952655200978902</v>
      </c>
      <c r="T23" s="5">
        <f>'854'!S3</f>
        <v>0.592707321525067</v>
      </c>
      <c r="U23" s="5">
        <f>'854'!T3</f>
        <v>0.42933088285054677</v>
      </c>
      <c r="V23" s="5">
        <f>'854'!U3</f>
        <v>0.50662308257663091</v>
      </c>
      <c r="W23" s="5">
        <f>'854'!V3</f>
        <v>0.63216567136970059</v>
      </c>
      <c r="X23" s="5">
        <f>'854'!W3</f>
        <v>0.3354322224685421</v>
      </c>
      <c r="Y23" s="5">
        <f>'854'!X3</f>
        <v>0.57708360012406412</v>
      </c>
      <c r="Z23" s="5">
        <f>'854'!Y3</f>
        <v>0.62254057684717612</v>
      </c>
      <c r="AA23" s="5">
        <f>'854'!Z3</f>
        <v>0.40470502953695497</v>
      </c>
      <c r="AB23" s="5">
        <f>'854'!AA3</f>
        <v>0.48989913061378704</v>
      </c>
      <c r="AC23" s="5">
        <f>'854'!AB3</f>
        <v>0.51745631318426855</v>
      </c>
      <c r="AD23" s="5">
        <f>'854'!AC3</f>
        <v>0.53410261125033986</v>
      </c>
      <c r="AE23" s="5">
        <f>'854'!AD3</f>
        <v>0.63176145501481007</v>
      </c>
      <c r="AF23" s="6">
        <f>'854'!AE3</f>
        <v>0.5451791791068975</v>
      </c>
    </row>
    <row r="24" spans="1:32" x14ac:dyDescent="0.25">
      <c r="A24" s="33"/>
      <c r="B24" s="2">
        <v>2</v>
      </c>
      <c r="C24" s="1">
        <f>'854'!B4</f>
        <v>0.9101253015932752</v>
      </c>
      <c r="D24" s="2">
        <f>'854'!C4</f>
        <v>0.79617098326814628</v>
      </c>
      <c r="E24" s="2">
        <f>'854'!D4</f>
        <v>0.65439880224440872</v>
      </c>
      <c r="F24" s="2">
        <f>'854'!E4</f>
        <v>0.92327230132095917</v>
      </c>
      <c r="G24" s="2">
        <f>'854'!F4</f>
        <v>0.91412855805337923</v>
      </c>
      <c r="H24" s="2">
        <f>'854'!G4</f>
        <v>0.91502458954099508</v>
      </c>
      <c r="I24" s="2">
        <f>'854'!H4</f>
        <v>0.99134395519983376</v>
      </c>
      <c r="J24" s="2">
        <f>'854'!I4</f>
        <v>0.78745539556218702</v>
      </c>
      <c r="K24" s="2">
        <f>'854'!J4</f>
        <v>0.95625359432004231</v>
      </c>
      <c r="L24" s="2">
        <f>'854'!K4</f>
        <v>0.92579756119674106</v>
      </c>
      <c r="M24" s="2">
        <f>'854'!L4</f>
        <v>0.66173257559625254</v>
      </c>
      <c r="N24" s="2">
        <f>'854'!M4</f>
        <v>0.92371323862337473</v>
      </c>
      <c r="O24" s="2">
        <f>'854'!N4</f>
        <v>0.84794762090321163</v>
      </c>
      <c r="P24" s="2">
        <f>'854'!O4</f>
        <v>0.75408588640286867</v>
      </c>
      <c r="Q24" s="2">
        <f>'854'!P4</f>
        <v>1.0024763076145491</v>
      </c>
      <c r="R24" s="1">
        <f>'854'!Q4</f>
        <v>0.60463995146961247</v>
      </c>
      <c r="S24" s="2">
        <f>'854'!R4</f>
        <v>0.66269517732843641</v>
      </c>
      <c r="T24" s="2">
        <f>'854'!S4</f>
        <v>0.8657010788236098</v>
      </c>
      <c r="U24" s="2">
        <f>'854'!T4</f>
        <v>0.59689275220794313</v>
      </c>
      <c r="V24" s="2">
        <f>'854'!U4</f>
        <v>0.69828847652434878</v>
      </c>
      <c r="W24" s="2">
        <f>'854'!V4</f>
        <v>0.57533737112778638</v>
      </c>
      <c r="X24" s="2">
        <f>'854'!W4</f>
        <v>0.59954611173327543</v>
      </c>
      <c r="Y24" s="2">
        <f>'854'!X4</f>
        <v>0.75264596355729407</v>
      </c>
      <c r="Z24" s="2">
        <f>'854'!Y4</f>
        <v>0.61413315164650151</v>
      </c>
      <c r="AA24" s="2">
        <f>'854'!Z4</f>
        <v>0.66929451864907474</v>
      </c>
      <c r="AB24" s="2">
        <f>'854'!AA4</f>
        <v>0.76879044161834464</v>
      </c>
      <c r="AC24" s="2">
        <f>'854'!AB4</f>
        <v>0.57757701153627516</v>
      </c>
      <c r="AD24" s="2">
        <f>'854'!AC4</f>
        <v>0.63455314382327321</v>
      </c>
      <c r="AE24" s="2">
        <f>'854'!AD4</f>
        <v>0.70330977030219055</v>
      </c>
      <c r="AF24" s="3">
        <f>'854'!AE4</f>
        <v>0.57392884520407106</v>
      </c>
    </row>
    <row r="25" spans="1:32" x14ac:dyDescent="0.25">
      <c r="A25" s="33"/>
      <c r="B25" s="2">
        <v>3</v>
      </c>
      <c r="C25" s="1">
        <f>'854'!B5</f>
        <v>1.0192864322242228</v>
      </c>
      <c r="D25" s="2">
        <f>'854'!C5</f>
        <v>1.2103357371503609</v>
      </c>
      <c r="E25" s="2">
        <f>'854'!D5</f>
        <v>1.1419288300794812</v>
      </c>
      <c r="F25" s="2">
        <f>'854'!E5</f>
        <v>1.3693212525734728</v>
      </c>
      <c r="G25" s="2">
        <f>'854'!F5</f>
        <v>1.4454690470869256</v>
      </c>
      <c r="H25" s="2">
        <f>'854'!G5</f>
        <v>1.3790299025050183</v>
      </c>
      <c r="I25" s="2">
        <f>'854'!H5</f>
        <v>1.1897472798577533</v>
      </c>
      <c r="J25" s="2">
        <f>'854'!I5</f>
        <v>1.2684192463911073</v>
      </c>
      <c r="K25" s="2">
        <f>'854'!J5</f>
        <v>1.3307011231135608</v>
      </c>
      <c r="L25" s="2">
        <f>'854'!K5</f>
        <v>1.3469481291461192</v>
      </c>
      <c r="M25" s="2">
        <f>'854'!L5</f>
        <v>1.2237399678945438</v>
      </c>
      <c r="N25" s="2">
        <f>'854'!M5</f>
        <v>1.2753605857934092</v>
      </c>
      <c r="O25" s="2">
        <f>'854'!N5</f>
        <v>1.212590982057334</v>
      </c>
      <c r="P25" s="2">
        <f>'854'!O5</f>
        <v>1.1901488207861299</v>
      </c>
      <c r="Q25" s="2">
        <f>'854'!P5</f>
        <v>1.1433984135828463</v>
      </c>
      <c r="R25" s="1">
        <f>'854'!Q5</f>
        <v>0.79610703208950473</v>
      </c>
      <c r="S25" s="2">
        <f>'854'!R5</f>
        <v>0.62787506167069596</v>
      </c>
      <c r="T25" s="2">
        <f>'854'!S5</f>
        <v>0.66674535583805083</v>
      </c>
      <c r="U25" s="2">
        <f>'854'!T5</f>
        <v>0.45115515755305702</v>
      </c>
      <c r="V25" s="2">
        <f>'854'!U5</f>
        <v>0.59850440925929183</v>
      </c>
      <c r="W25" s="2">
        <f>'854'!V5</f>
        <v>0.58821420849076378</v>
      </c>
      <c r="X25" s="2">
        <f>'854'!W5</f>
        <v>0.59194143228815066</v>
      </c>
      <c r="Y25" s="2">
        <f>'854'!X5</f>
        <v>0.689621268921084</v>
      </c>
      <c r="Z25" s="2">
        <f>'854'!Y5</f>
        <v>0.70772771068672324</v>
      </c>
      <c r="AA25" s="2">
        <f>'854'!Z5</f>
        <v>0.64990867734879687</v>
      </c>
      <c r="AB25" s="2">
        <f>'854'!AA5</f>
        <v>0.6400091688690317</v>
      </c>
      <c r="AC25" s="2">
        <f>'854'!AB5</f>
        <v>0.56086969231486106</v>
      </c>
      <c r="AD25" s="2">
        <f>'854'!AC5</f>
        <v>0.60581946947361098</v>
      </c>
      <c r="AE25" s="2">
        <f>'854'!AD5</f>
        <v>0.63657837628025005</v>
      </c>
      <c r="AF25" s="3">
        <f>'854'!AE5</f>
        <v>0.65288407744470145</v>
      </c>
    </row>
    <row r="26" spans="1:32" x14ac:dyDescent="0.25">
      <c r="A26" s="33"/>
      <c r="B26" s="2">
        <v>4</v>
      </c>
      <c r="C26" s="1">
        <f>'854'!B6</f>
        <v>1.0386990537539815</v>
      </c>
      <c r="D26" s="2">
        <f>'854'!C6</f>
        <v>1.0189778043187856</v>
      </c>
      <c r="E26" s="2">
        <f>'854'!D6</f>
        <v>1.1148953955745131</v>
      </c>
      <c r="F26" s="2">
        <f>'854'!E6</f>
        <v>1.0036754759025699</v>
      </c>
      <c r="G26" s="2">
        <f>'854'!F6</f>
        <v>1.0484943818527754</v>
      </c>
      <c r="H26" s="2">
        <f>'854'!G6</f>
        <v>1.0407544083418929</v>
      </c>
      <c r="I26" s="2">
        <f>'854'!H6</f>
        <v>1.2374965045189017</v>
      </c>
      <c r="J26" s="2">
        <f>'854'!I6</f>
        <v>1.0330000000000001</v>
      </c>
      <c r="K26" s="2">
        <f>'854'!J6</f>
        <v>0.95679743924772298</v>
      </c>
      <c r="L26" s="2">
        <f>'854'!K6</f>
        <v>0.95443128980377634</v>
      </c>
      <c r="M26" s="2">
        <f>'854'!L6</f>
        <v>0.91142891554882099</v>
      </c>
      <c r="N26" s="2">
        <f>'854'!M6</f>
        <v>0.99665040552103823</v>
      </c>
      <c r="O26" s="2">
        <f>'854'!N6</f>
        <v>0.99038792999351188</v>
      </c>
      <c r="P26" s="2">
        <f>'854'!O6</f>
        <v>0.94262269746768235</v>
      </c>
      <c r="Q26" s="2">
        <f>'854'!P6</f>
        <v>1.0209660821365469</v>
      </c>
      <c r="R26" s="1">
        <f>'854'!Q6</f>
        <v>0.35468235712913532</v>
      </c>
      <c r="S26" s="2">
        <f>'854'!R6</f>
        <v>0.36271668307837912</v>
      </c>
      <c r="T26" s="2">
        <f>'854'!S6</f>
        <v>0.31196026414864286</v>
      </c>
      <c r="U26" s="2">
        <f>'854'!T6</f>
        <v>0.40518713164681591</v>
      </c>
      <c r="V26" s="2">
        <f>'854'!U6</f>
        <v>0.40814443208005069</v>
      </c>
      <c r="W26" s="2">
        <f>'854'!V6</f>
        <v>0.38084955877504845</v>
      </c>
      <c r="X26" s="2">
        <f>'854'!W6</f>
        <v>0.22770535440141015</v>
      </c>
      <c r="Y26" s="2">
        <f>'854'!X6</f>
        <v>0.31719637881315466</v>
      </c>
      <c r="Z26" s="2">
        <f>'854'!Y6</f>
        <v>0.51410015834857048</v>
      </c>
      <c r="AA26" s="2">
        <f>'854'!Z6</f>
        <v>0.50728336004655983</v>
      </c>
      <c r="AB26" s="2">
        <f>'854'!AA6</f>
        <v>0.50027440303823167</v>
      </c>
      <c r="AC26" s="2">
        <f>'854'!AB6</f>
        <v>0.40893026285882772</v>
      </c>
      <c r="AD26" s="2">
        <f>'854'!AC6</f>
        <v>0.40178772575337407</v>
      </c>
      <c r="AE26" s="2">
        <f>'854'!AD6</f>
        <v>0.46362081238088731</v>
      </c>
      <c r="AF26" s="3">
        <f>'854'!AE6</f>
        <v>0.3446692477454309</v>
      </c>
    </row>
    <row r="27" spans="1:32" x14ac:dyDescent="0.25">
      <c r="A27" s="33"/>
      <c r="B27" s="2">
        <v>5</v>
      </c>
      <c r="C27" s="1">
        <f>'854'!B7</f>
        <v>1.0050584869201229</v>
      </c>
      <c r="D27" s="2">
        <f>'854'!C7</f>
        <v>1.1177208639045351</v>
      </c>
      <c r="E27" s="2">
        <f>'854'!D7</f>
        <v>0.94443634393289499</v>
      </c>
      <c r="F27" s="2">
        <f>'854'!E7</f>
        <v>1.0558735392883229</v>
      </c>
      <c r="G27" s="2">
        <f>'854'!F7</f>
        <v>1.2223925571178365</v>
      </c>
      <c r="H27" s="2">
        <f>'854'!G7</f>
        <v>1.1150439684981412</v>
      </c>
      <c r="I27" s="2">
        <f>'854'!H7</f>
        <v>0.7808852203876806</v>
      </c>
      <c r="J27" s="2">
        <f>'854'!I7</f>
        <v>1.0477828973599443</v>
      </c>
      <c r="K27" s="2">
        <f>'854'!J7</f>
        <v>1.2806903259919369</v>
      </c>
      <c r="L27" s="2">
        <f>'854'!K7</f>
        <v>1.197024116270289</v>
      </c>
      <c r="M27" s="2">
        <f>'854'!L7</f>
        <v>1.0352296241909329</v>
      </c>
      <c r="N27" s="2">
        <f>'854'!M7</f>
        <v>1.0293626163216247</v>
      </c>
      <c r="O27" s="2">
        <f>'854'!N7</f>
        <v>1.0037171735878838</v>
      </c>
      <c r="P27" s="2">
        <f>'854'!O7</f>
        <v>0.98005432325466868</v>
      </c>
      <c r="Q27" s="2">
        <f>'854'!P7</f>
        <v>0.91125154625355764</v>
      </c>
      <c r="R27" s="1">
        <f>'854'!Q7</f>
        <v>0.70853915589953842</v>
      </c>
      <c r="S27" s="2">
        <f>'854'!R7</f>
        <v>0.4797753914702238</v>
      </c>
      <c r="T27" s="2">
        <f>'854'!S7</f>
        <v>0.643116315645333</v>
      </c>
      <c r="U27" s="2">
        <f>'854'!T7</f>
        <v>0.60701871946266917</v>
      </c>
      <c r="V27" s="2">
        <f>'854'!U7</f>
        <v>0.63548652467857714</v>
      </c>
      <c r="W27" s="2">
        <f>'854'!V7</f>
        <v>0.60876309023288666</v>
      </c>
      <c r="X27" s="2">
        <f>'854'!W7</f>
        <v>0.77577544909513918</v>
      </c>
      <c r="Y27" s="2">
        <f>'854'!X7</f>
        <v>0.51142360392572694</v>
      </c>
      <c r="Z27" s="2">
        <f>'854'!Y7</f>
        <v>0.3718232384874357</v>
      </c>
      <c r="AA27" s="2">
        <f>'854'!Z7</f>
        <v>0.43820541704995941</v>
      </c>
      <c r="AB27" s="2">
        <f>'854'!AA7</f>
        <v>0.5789591683426264</v>
      </c>
      <c r="AC27" s="2">
        <f>'854'!AB7</f>
        <v>0.59377907283894438</v>
      </c>
      <c r="AD27" s="2">
        <f>'854'!AC7</f>
        <v>0.65135953875309283</v>
      </c>
      <c r="AE27" s="2">
        <f>'854'!AD7</f>
        <v>0.67532507173476253</v>
      </c>
      <c r="AF27" s="3">
        <f>'854'!AE7</f>
        <v>0.68841126499847394</v>
      </c>
    </row>
    <row r="28" spans="1:32" x14ac:dyDescent="0.25">
      <c r="A28" s="33"/>
      <c r="B28" s="2">
        <v>6</v>
      </c>
      <c r="C28" s="1">
        <f>'854'!B8</f>
        <v>1.6264752044739519</v>
      </c>
      <c r="D28" s="2">
        <f>'854'!C8</f>
        <v>1.1312880729210841</v>
      </c>
      <c r="E28" s="2">
        <f>'854'!D8</f>
        <v>0.98265159751735842</v>
      </c>
      <c r="F28" s="2">
        <f>'854'!E8</f>
        <v>1.0096740452216086</v>
      </c>
      <c r="G28" s="2">
        <f>'854'!F8</f>
        <v>1.230447819539936</v>
      </c>
      <c r="H28" s="2">
        <f>'854'!G8</f>
        <v>1.1060050624465212</v>
      </c>
      <c r="I28" s="2">
        <f>'854'!H8</f>
        <v>0.83908682779101051</v>
      </c>
      <c r="J28" s="2">
        <f>'854'!I8</f>
        <v>1.2670973390654194</v>
      </c>
      <c r="K28" s="2">
        <f>'854'!J8</f>
        <v>1.2887816812867297</v>
      </c>
      <c r="L28" s="2">
        <f>'854'!K8</f>
        <v>1.223983910018871</v>
      </c>
      <c r="M28" s="2">
        <f>'854'!L8</f>
        <v>1.0739722753967318</v>
      </c>
      <c r="N28" s="2">
        <f>'854'!M8</f>
        <v>1.1607215106252875</v>
      </c>
      <c r="O28" s="2">
        <f>'854'!N8</f>
        <v>1.1147146833349706</v>
      </c>
      <c r="P28" s="2">
        <f>'854'!O8</f>
        <v>0.97458577825864057</v>
      </c>
      <c r="Q28" s="2">
        <f>'854'!P8</f>
        <v>1.1034571310564132</v>
      </c>
      <c r="R28" s="1">
        <f>'854'!Q8</f>
        <v>0.18225284230911218</v>
      </c>
      <c r="S28" s="2">
        <f>'854'!R8</f>
        <v>0.54249075560635707</v>
      </c>
      <c r="T28" s="2">
        <f>'854'!S8</f>
        <v>0.71519202905871393</v>
      </c>
      <c r="U28" s="2">
        <f>'854'!T8</f>
        <v>0.67662900699598638</v>
      </c>
      <c r="V28" s="2">
        <f>'854'!U8</f>
        <v>0.65685861747508689</v>
      </c>
      <c r="W28" s="2">
        <f>'854'!V8</f>
        <v>0.6951009323280557</v>
      </c>
      <c r="X28" s="2">
        <f>'854'!W8</f>
        <v>0.73731025068084255</v>
      </c>
      <c r="Y28" s="2">
        <f>'854'!X8</f>
        <v>0.40384341894413561</v>
      </c>
      <c r="Z28" s="2">
        <f>'854'!Y8</f>
        <v>0.39871346068889701</v>
      </c>
      <c r="AA28" s="2">
        <f>'854'!Z8</f>
        <v>0.57380469161382586</v>
      </c>
      <c r="AB28" s="2">
        <f>'854'!AA8</f>
        <v>0.60491776251019624</v>
      </c>
      <c r="AC28" s="2">
        <f>'854'!AB8</f>
        <v>0.50501216678914351</v>
      </c>
      <c r="AD28" s="2">
        <f>'854'!AC8</f>
        <v>0.54771520421540165</v>
      </c>
      <c r="AE28" s="2">
        <f>'854'!AD8</f>
        <v>0.68860166369152265</v>
      </c>
      <c r="AF28" s="3">
        <f>'854'!AE8</f>
        <v>0.56021085242169733</v>
      </c>
    </row>
    <row r="29" spans="1:32" x14ac:dyDescent="0.25">
      <c r="A29" s="33"/>
      <c r="B29" s="2">
        <v>7</v>
      </c>
      <c r="C29" s="1">
        <f>'854'!B9</f>
        <v>0.98960281353337232</v>
      </c>
      <c r="D29" s="2">
        <f>'854'!C9</f>
        <v>0.85056200137644278</v>
      </c>
      <c r="E29" s="2">
        <f>'854'!D9</f>
        <v>0.9594004750770575</v>
      </c>
      <c r="F29" s="2">
        <f>'854'!E9</f>
        <v>0.8574354119949793</v>
      </c>
      <c r="G29" s="2">
        <f>'854'!F9</f>
        <v>0.93547025391101213</v>
      </c>
      <c r="H29" s="2">
        <f>'854'!G9</f>
        <v>0.92540844734789052</v>
      </c>
      <c r="I29" s="2">
        <f>'854'!H9</f>
        <v>0.8607452841212182</v>
      </c>
      <c r="J29" s="2">
        <f>'854'!I9</f>
        <v>0.66849466248847744</v>
      </c>
      <c r="K29" s="2">
        <f>'854'!J9</f>
        <v>1.1747155769576028</v>
      </c>
      <c r="L29" s="2">
        <f>'854'!K9</f>
        <v>1.0562902028659469</v>
      </c>
      <c r="M29" s="2">
        <f>'854'!L9</f>
        <v>0.76437521562302768</v>
      </c>
      <c r="N29" s="2">
        <f>'854'!M9</f>
        <v>0.82661244719326188</v>
      </c>
      <c r="O29" s="2">
        <f>'854'!N9</f>
        <v>0.799821527671851</v>
      </c>
      <c r="P29" s="2">
        <f>'854'!O9</f>
        <v>0.78760121581636522</v>
      </c>
      <c r="Q29" s="2">
        <f>'854'!P9</f>
        <v>0.80414973033566128</v>
      </c>
      <c r="R29" s="1">
        <f>'854'!Q9</f>
        <v>0.50416901374078771</v>
      </c>
      <c r="S29" s="2">
        <f>'854'!R9</f>
        <v>0.5661749524635542</v>
      </c>
      <c r="T29" s="2">
        <f>'854'!S9</f>
        <v>0.34139960896346039</v>
      </c>
      <c r="U29" s="2">
        <f>'854'!T9</f>
        <v>0.53224056048249724</v>
      </c>
      <c r="V29" s="2">
        <f>'854'!U9</f>
        <v>0.54726800738135173</v>
      </c>
      <c r="W29" s="2">
        <f>'854'!V9</f>
        <v>0.37027957227608849</v>
      </c>
      <c r="X29" s="2">
        <f>'854'!W9</f>
        <v>0.47702723143032355</v>
      </c>
      <c r="Y29" s="2">
        <f>'854'!X9</f>
        <v>0.69178843078861008</v>
      </c>
      <c r="Z29" s="2">
        <f>'854'!Y9</f>
        <v>9.1883560669433886E-2</v>
      </c>
      <c r="AA29" s="2">
        <f>'854'!Z9</f>
        <v>0.24349138383931276</v>
      </c>
      <c r="AB29" s="2">
        <f>'854'!AA9</f>
        <v>0.71096282854583503</v>
      </c>
      <c r="AC29" s="2">
        <f>'854'!AB9</f>
        <v>0.58448044917227204</v>
      </c>
      <c r="AD29" s="2">
        <f>'854'!AC9</f>
        <v>0.61528029324259192</v>
      </c>
      <c r="AE29" s="2">
        <f>'854'!AD9</f>
        <v>0.59627108392673067</v>
      </c>
      <c r="AF29" s="3">
        <f>'854'!AE9</f>
        <v>0.52588736059279939</v>
      </c>
    </row>
    <row r="30" spans="1:32" x14ac:dyDescent="0.25">
      <c r="A30" s="33"/>
      <c r="B30" s="2">
        <v>8</v>
      </c>
      <c r="C30" s="1">
        <f>'854'!B10</f>
        <v>1.0819018002784226</v>
      </c>
      <c r="D30" s="2">
        <f>'854'!C10</f>
        <v>1.0172905970797361</v>
      </c>
      <c r="E30" s="2">
        <f>'854'!D10</f>
        <v>0.84724545400532669</v>
      </c>
      <c r="F30" s="2">
        <f>'854'!E10</f>
        <v>0.87147006860216447</v>
      </c>
      <c r="G30" s="2">
        <f>'854'!F10</f>
        <v>1.0219832291647453</v>
      </c>
      <c r="H30" s="2">
        <f>'854'!G10</f>
        <v>0.92383515263434468</v>
      </c>
      <c r="I30" s="2">
        <f>'854'!H10</f>
        <v>1.2928233963970841</v>
      </c>
      <c r="J30" s="2">
        <f>'854'!I10</f>
        <v>0.95056323354808137</v>
      </c>
      <c r="K30" s="2">
        <f>'854'!J10</f>
        <v>1.1196731145858529</v>
      </c>
      <c r="L30" s="2">
        <f>'854'!K10</f>
        <v>1.0374900163926324</v>
      </c>
      <c r="M30" s="2">
        <f>'854'!L10</f>
        <v>0.8246459070394534</v>
      </c>
      <c r="N30" s="2">
        <f>'854'!M10</f>
        <v>1.0052455985421211</v>
      </c>
      <c r="O30" s="2">
        <f>'854'!N10</f>
        <v>0.93470773328931311</v>
      </c>
      <c r="P30" s="2">
        <f>'854'!O10</f>
        <v>0.96391291827817016</v>
      </c>
      <c r="Q30" s="2">
        <f>'854'!P10</f>
        <v>0.8356134455966604</v>
      </c>
      <c r="R30" s="1">
        <f>'854'!Q10</f>
        <v>0.36298716649487672</v>
      </c>
      <c r="S30" s="2">
        <f>'854'!R10</f>
        <v>0.42952516685135006</v>
      </c>
      <c r="T30" s="2">
        <f>'854'!S10</f>
        <v>0.59291866416177719</v>
      </c>
      <c r="U30" s="2">
        <f>'854'!T10</f>
        <v>0.58542045530412989</v>
      </c>
      <c r="V30" s="2">
        <f>'854'!U10</f>
        <v>0.52207275363882599</v>
      </c>
      <c r="W30" s="2">
        <f>'854'!V10</f>
        <v>0.55342021913226469</v>
      </c>
      <c r="X30" s="2">
        <f>'854'!W10</f>
        <v>0.219525574636386</v>
      </c>
      <c r="Y30" s="2">
        <f>'854'!X10</f>
        <v>0.48009328965234693</v>
      </c>
      <c r="Z30" s="2">
        <f>'854'!Y10</f>
        <v>0.27789376338505362</v>
      </c>
      <c r="AA30" s="2">
        <f>'854'!Z10</f>
        <v>0.38072639849666046</v>
      </c>
      <c r="AB30" s="2">
        <f>'854'!AA10</f>
        <v>0.63210929638443092</v>
      </c>
      <c r="AC30" s="2">
        <f>'854'!AB10</f>
        <v>0.46595913603365846</v>
      </c>
      <c r="AD30" s="2">
        <f>'854'!AC10</f>
        <v>0.5390156535273829</v>
      </c>
      <c r="AE30" s="2">
        <f>'854'!AD10</f>
        <v>0.48905237364002047</v>
      </c>
      <c r="AF30" s="3">
        <f>'854'!AE10</f>
        <v>0.63711478382016451</v>
      </c>
    </row>
    <row r="31" spans="1:32" x14ac:dyDescent="0.25">
      <c r="A31" s="33"/>
      <c r="B31" s="2">
        <v>9</v>
      </c>
      <c r="C31" s="1">
        <f>'854'!B11</f>
        <v>1.5942309557857615</v>
      </c>
      <c r="D31" s="2">
        <f>'854'!C11</f>
        <v>1.1706908348957534</v>
      </c>
      <c r="E31" s="2">
        <f>'854'!D11</f>
        <v>0.89656103685847843</v>
      </c>
      <c r="F31" s="2">
        <f>'854'!E11</f>
        <v>0.98895420611038232</v>
      </c>
      <c r="G31" s="2">
        <f>'854'!F11</f>
        <v>1.0245562777301858</v>
      </c>
      <c r="H31" s="2">
        <f>'854'!G11</f>
        <v>0.8798867773948722</v>
      </c>
      <c r="I31" s="2">
        <f>'854'!H11</f>
        <v>1.3687663273887061</v>
      </c>
      <c r="J31" s="2">
        <f>'854'!I11</f>
        <v>0.9698939211968407</v>
      </c>
      <c r="K31" s="2">
        <f>'854'!J11</f>
        <v>0.87550125684285385</v>
      </c>
      <c r="L31" s="2">
        <f>'854'!K11</f>
        <v>0.89022472394357621</v>
      </c>
      <c r="M31" s="2">
        <f>'854'!L11</f>
        <v>1.1222508461016711</v>
      </c>
      <c r="N31" s="2">
        <f>'854'!M11</f>
        <v>0.98764173313289572</v>
      </c>
      <c r="O31" s="2">
        <f>'854'!N11</f>
        <v>0.91819147755406483</v>
      </c>
      <c r="P31" s="2">
        <f>'854'!O11</f>
        <v>0.90315207249393126</v>
      </c>
      <c r="Q31" s="2">
        <f>'854'!P11</f>
        <v>1.0446448729337801</v>
      </c>
      <c r="R31" s="1">
        <f>'854'!Q11</f>
        <v>2.7063492796845241E-2</v>
      </c>
      <c r="S31" s="2">
        <f>'854'!R11</f>
        <v>0.16009460967273093</v>
      </c>
      <c r="T31" s="2">
        <f>'854'!S11</f>
        <v>0.43824581528843048</v>
      </c>
      <c r="U31" s="2">
        <f>'854'!T11</f>
        <v>0.30284745081031417</v>
      </c>
      <c r="V31" s="2">
        <f>'854'!U11</f>
        <v>0.29412881496903587</v>
      </c>
      <c r="W31" s="2">
        <f>'854'!V11</f>
        <v>0.62716928574915876</v>
      </c>
      <c r="X31" s="2">
        <f>'854'!W11</f>
        <v>0.14482373461248202</v>
      </c>
      <c r="Y31" s="2">
        <f>'854'!X11</f>
        <v>0.35444700166911847</v>
      </c>
      <c r="Z31" s="2">
        <f>'854'!Y11</f>
        <v>0.5733829193618355</v>
      </c>
      <c r="AA31" s="2">
        <f>'854'!Z11</f>
        <v>0.52007589649282515</v>
      </c>
      <c r="AB31" s="2">
        <f>'854'!AA11</f>
        <v>0.19928169874328902</v>
      </c>
      <c r="AC31" s="2">
        <f>'854'!AB11</f>
        <v>0.3117949016596111</v>
      </c>
      <c r="AD31" s="2">
        <f>'854'!AC11</f>
        <v>0.40582867845407133</v>
      </c>
      <c r="AE31" s="2">
        <f>'854'!AD11</f>
        <v>0.43294390757182694</v>
      </c>
      <c r="AF31" s="3">
        <f>'854'!AE11</f>
        <v>0.26783019826389598</v>
      </c>
    </row>
    <row r="32" spans="1:32" x14ac:dyDescent="0.25">
      <c r="A32" s="34"/>
      <c r="B32" s="8">
        <v>10</v>
      </c>
      <c r="C32" s="1">
        <f>'854'!B12</f>
        <v>0.891411110662234</v>
      </c>
      <c r="D32" s="2">
        <f>'854'!C12</f>
        <v>0.85620952359498426</v>
      </c>
      <c r="E32" s="2">
        <f>'854'!D12</f>
        <v>0.93107911479019878</v>
      </c>
      <c r="F32" s="2">
        <f>'854'!E12</f>
        <v>1.653404490665549</v>
      </c>
      <c r="G32" s="2">
        <f>'854'!F12</f>
        <v>0.86850801547279932</v>
      </c>
      <c r="H32" s="2">
        <f>'854'!G12</f>
        <v>1.0975562317702134</v>
      </c>
      <c r="I32" s="2">
        <f>'854'!H12</f>
        <v>1.2497655762868758</v>
      </c>
      <c r="J32" s="2">
        <f>'854'!I12</f>
        <v>0.67703988065696685</v>
      </c>
      <c r="K32" s="2">
        <f>'854'!J12</f>
        <v>0.88705297537698768</v>
      </c>
      <c r="L32" s="2">
        <f>'854'!K12</f>
        <v>1.1448636799529162</v>
      </c>
      <c r="M32" s="2">
        <f>'854'!L12</f>
        <v>0.55515305317143249</v>
      </c>
      <c r="N32" s="2">
        <f>'854'!M12</f>
        <v>0.54206677727671759</v>
      </c>
      <c r="O32" s="2">
        <f>'854'!N12</f>
        <v>0.38285481400188331</v>
      </c>
      <c r="P32" s="2">
        <f>'854'!O12</f>
        <v>0.74303551878757224</v>
      </c>
      <c r="Q32" s="2">
        <f>'854'!P12</f>
        <v>0.75653729961611715</v>
      </c>
      <c r="R32" s="1">
        <f>'854'!Q12</f>
        <v>0.64269927265031968</v>
      </c>
      <c r="S32" s="2">
        <f>'854'!R12</f>
        <v>0.41832893325861731</v>
      </c>
      <c r="T32" s="2">
        <f>'854'!S12</f>
        <v>0.4772338818252666</v>
      </c>
      <c r="U32" s="2">
        <f>'854'!T12</f>
        <v>0.23194006125285338</v>
      </c>
      <c r="V32" s="2">
        <f>'854'!U12</f>
        <v>0.69230993603411339</v>
      </c>
      <c r="W32" s="2">
        <f>'854'!V12</f>
        <v>0.33565935904736321</v>
      </c>
      <c r="X32" s="2">
        <f>'854'!W12</f>
        <v>0.19051449015720318</v>
      </c>
      <c r="Y32" s="2">
        <f>'854'!X12</f>
        <v>0.6049338108723864</v>
      </c>
      <c r="Z32" s="2">
        <f>'854'!Y12</f>
        <v>0.52176588229711207</v>
      </c>
      <c r="AA32" s="2">
        <f>'854'!Z12</f>
        <v>0.16689560723256971</v>
      </c>
      <c r="AB32" s="2">
        <f>'854'!AA12</f>
        <v>0.70835286957405941</v>
      </c>
      <c r="AC32" s="2">
        <f>'854'!AB12</f>
        <v>0.72441737730254607</v>
      </c>
      <c r="AD32" s="2">
        <f>'854'!AC12</f>
        <v>0.86467273331888772</v>
      </c>
      <c r="AE32" s="2">
        <f>'854'!AD12</f>
        <v>0.53757325437204539</v>
      </c>
      <c r="AF32" s="3">
        <f>'854'!AE12</f>
        <v>0.67461917511659508</v>
      </c>
    </row>
    <row r="33" spans="1:32" x14ac:dyDescent="0.25">
      <c r="A33" s="32">
        <v>912</v>
      </c>
      <c r="B33" s="5">
        <v>1</v>
      </c>
      <c r="C33" s="4">
        <f>'912'!B3</f>
        <v>0.92342381563563936</v>
      </c>
      <c r="D33" s="5">
        <f>'912'!C3</f>
        <v>0.70848735586582623</v>
      </c>
      <c r="E33" s="5">
        <f>'912'!D3</f>
        <v>0.70219521383830052</v>
      </c>
      <c r="F33" s="5">
        <f>'912'!E3</f>
        <v>0.83636986838713678</v>
      </c>
      <c r="G33" s="5">
        <f>'912'!F3</f>
        <v>0.99654665686752142</v>
      </c>
      <c r="H33" s="5">
        <f>'912'!G3</f>
        <v>0.72105082462877268</v>
      </c>
      <c r="I33" s="5">
        <f>'912'!H3</f>
        <v>0.92793219747159328</v>
      </c>
      <c r="J33" s="5">
        <f>'912'!I3</f>
        <v>0.96314986718924833</v>
      </c>
      <c r="K33" s="5">
        <f>'912'!J3</f>
        <v>1.0350280568625503</v>
      </c>
      <c r="L33" s="5">
        <f>'912'!K3</f>
        <v>1.0333466121025172</v>
      </c>
      <c r="M33" s="5">
        <f>'912'!L3</f>
        <v>0.80210596742060825</v>
      </c>
      <c r="N33" s="5">
        <f>'912'!M3</f>
        <v>0.85929652976747006</v>
      </c>
      <c r="O33" s="5">
        <f>'912'!N3</f>
        <v>0.80423097066483329</v>
      </c>
      <c r="P33" s="5">
        <f>'912'!O3</f>
        <v>0.67022914689163071</v>
      </c>
      <c r="Q33" s="5">
        <f>'912'!P3</f>
        <v>0.6586935065554641</v>
      </c>
      <c r="R33" s="4">
        <f>'912'!Q3</f>
        <v>0.62559426913276517</v>
      </c>
      <c r="S33" s="5">
        <f>'912'!R3</f>
        <v>0.80232172192303375</v>
      </c>
      <c r="T33" s="5">
        <f>'912'!S3</f>
        <v>0.81330341429410202</v>
      </c>
      <c r="U33" s="5">
        <f>'912'!T3</f>
        <v>0.70823314632625678</v>
      </c>
      <c r="V33" s="5">
        <f>'912'!U3</f>
        <v>0.73611109758616444</v>
      </c>
      <c r="W33" s="5">
        <f>'912'!V3</f>
        <v>0.80202297768114528</v>
      </c>
      <c r="X33" s="5">
        <f>'912'!W3</f>
        <v>0.65124855665730119</v>
      </c>
      <c r="Y33" s="5">
        <f>'912'!X3</f>
        <v>0.67530607191262793</v>
      </c>
      <c r="Z33" s="5">
        <f>'912'!Y3</f>
        <v>0.58677030689140797</v>
      </c>
      <c r="AA33" s="5">
        <f>'912'!Z3</f>
        <v>0.5737961381715212</v>
      </c>
      <c r="AB33" s="5">
        <f>'912'!AA3</f>
        <v>0.7177476642063978</v>
      </c>
      <c r="AC33" s="5">
        <f>'912'!AB3</f>
        <v>0.66908135162128934</v>
      </c>
      <c r="AD33" s="5">
        <f>'912'!AC3</f>
        <v>0.71407606914225386</v>
      </c>
      <c r="AE33" s="5">
        <f>'912'!AD3</f>
        <v>0.85373326699416718</v>
      </c>
      <c r="AF33" s="6">
        <f>'912'!AE3</f>
        <v>0.86603999667989062</v>
      </c>
    </row>
    <row r="34" spans="1:32" x14ac:dyDescent="0.25">
      <c r="A34" s="33"/>
      <c r="B34" s="2">
        <v>2</v>
      </c>
      <c r="C34" s="1">
        <f>'912'!B4</f>
        <v>1.2412726140011845</v>
      </c>
      <c r="D34" s="2">
        <f>'912'!C4</f>
        <v>0.98740123687300163</v>
      </c>
      <c r="E34" s="2">
        <f>'912'!D4</f>
        <v>0.97283036865302641</v>
      </c>
      <c r="F34" s="2">
        <f>'912'!E4</f>
        <v>0.99782929176926349</v>
      </c>
      <c r="G34" s="2">
        <f>'912'!F4</f>
        <v>1.0351967585675439</v>
      </c>
      <c r="H34" s="2">
        <f>'912'!G4</f>
        <v>0.98012485715218123</v>
      </c>
      <c r="I34" s="2">
        <f>'912'!H4</f>
        <v>1.2278369618190357</v>
      </c>
      <c r="J34" s="2">
        <f>'912'!I4</f>
        <v>0.93826222347486643</v>
      </c>
      <c r="K34" s="2">
        <f>'912'!J4</f>
        <v>0.99616140915302986</v>
      </c>
      <c r="L34" s="2">
        <f>'912'!K4</f>
        <v>1.0108153512496731</v>
      </c>
      <c r="M34" s="2">
        <f>'912'!L4</f>
        <v>0.90387470007453652</v>
      </c>
      <c r="N34" s="2">
        <f>'912'!M4</f>
        <v>1.0079899278534483</v>
      </c>
      <c r="O34" s="2">
        <f>'912'!N4</f>
        <v>1.0148943230508454</v>
      </c>
      <c r="P34" s="2">
        <f>'912'!O4</f>
        <v>0.95320952382507884</v>
      </c>
      <c r="Q34" s="2">
        <f>'912'!P4</f>
        <v>1.0879902864998383</v>
      </c>
      <c r="R34" s="1">
        <f>'912'!Q4</f>
        <v>0.19933443831742864</v>
      </c>
      <c r="S34" s="2">
        <f>'912'!R4</f>
        <v>0.34441655964148504</v>
      </c>
      <c r="T34" s="2">
        <f>'912'!S4</f>
        <v>0.38327201631680402</v>
      </c>
      <c r="U34" s="2">
        <f>'912'!T4</f>
        <v>0.33821772584927506</v>
      </c>
      <c r="V34" s="2">
        <f>'912'!U4</f>
        <v>0.33758381367668566</v>
      </c>
      <c r="W34" s="2">
        <f>'912'!V4</f>
        <v>0.36180162447475039</v>
      </c>
      <c r="X34" s="2">
        <f>'912'!W4</f>
        <v>0.13196714695309944</v>
      </c>
      <c r="Y34" s="2">
        <f>'912'!X4</f>
        <v>0.42789606238862066</v>
      </c>
      <c r="Z34" s="2">
        <f>'912'!Y4</f>
        <v>0.38108540303918348</v>
      </c>
      <c r="AA34" s="2">
        <f>'912'!Z4</f>
        <v>0.35346299443686557</v>
      </c>
      <c r="AB34" s="2">
        <f>'912'!AA4</f>
        <v>0.48387840852904562</v>
      </c>
      <c r="AC34" s="2">
        <f>'912'!AB4</f>
        <v>0.33323312595442606</v>
      </c>
      <c r="AD34" s="2">
        <f>'912'!AC4</f>
        <v>0.3148927747355767</v>
      </c>
      <c r="AE34" s="2">
        <f>'912'!AD4</f>
        <v>0.38863232920276047</v>
      </c>
      <c r="AF34" s="3">
        <f>'912'!AE4</f>
        <v>0.21158996585304479</v>
      </c>
    </row>
    <row r="35" spans="1:32" x14ac:dyDescent="0.25">
      <c r="A35" s="33"/>
      <c r="B35" s="2">
        <v>3</v>
      </c>
      <c r="C35" s="1">
        <f>'912'!B5</f>
        <v>1.1997805230061231</v>
      </c>
      <c r="D35" s="2">
        <f>'912'!C5</f>
        <v>1.1918440804644514</v>
      </c>
      <c r="E35" s="2">
        <f>'912'!D5</f>
        <v>1.1879638339307887</v>
      </c>
      <c r="F35" s="2">
        <f>'912'!E5</f>
        <v>1.1106129809866609</v>
      </c>
      <c r="G35" s="2">
        <f>'912'!F5</f>
        <v>1.157835639075705</v>
      </c>
      <c r="H35" s="2">
        <f>'912'!G5</f>
        <v>1.051660865952774</v>
      </c>
      <c r="I35" s="2">
        <f>'912'!H5</f>
        <v>1.4764633718565194</v>
      </c>
      <c r="J35" s="2">
        <f>'912'!I5</f>
        <v>1.2777859457189702</v>
      </c>
      <c r="K35" s="2">
        <f>'912'!J5</f>
        <v>1.4006779644732761</v>
      </c>
      <c r="L35" s="2">
        <f>'912'!K5</f>
        <v>1.3632811515091645</v>
      </c>
      <c r="M35" s="2">
        <f>'912'!L5</f>
        <v>1.28258989242128</v>
      </c>
      <c r="N35" s="2">
        <f>'912'!M5</f>
        <v>1.1048359842347641</v>
      </c>
      <c r="O35" s="2">
        <f>'912'!N5</f>
        <v>1.041405265296258</v>
      </c>
      <c r="P35" s="2">
        <f>'912'!O5</f>
        <v>1.2382557408084784</v>
      </c>
      <c r="Q35" s="2">
        <f>'912'!P5</f>
        <v>1.1331009993273395</v>
      </c>
      <c r="R35" s="1">
        <f>'912'!Q5</f>
        <v>0.18678854613070597</v>
      </c>
      <c r="S35" s="2">
        <f>'912'!R5</f>
        <v>0.20768137192956693</v>
      </c>
      <c r="T35" s="2">
        <f>'912'!S5</f>
        <v>0.14587112131990454</v>
      </c>
      <c r="U35" s="2">
        <f>'912'!T5</f>
        <v>0.22578607644153159</v>
      </c>
      <c r="V35" s="2">
        <f>'912'!U5</f>
        <v>0.21068542312364869</v>
      </c>
      <c r="W35" s="2">
        <f>'912'!V5</f>
        <v>0.29355979826545181</v>
      </c>
      <c r="X35" s="2">
        <f>'912'!W5</f>
        <v>6.3295190639876459E-2</v>
      </c>
      <c r="Y35" s="2">
        <f>'912'!X5</f>
        <v>8.1381515668068241E-2</v>
      </c>
      <c r="Z35" s="2">
        <f>'912'!Y5</f>
        <v>6.763877983344567E-2</v>
      </c>
      <c r="AA35" s="2">
        <f>'912'!Z5</f>
        <v>6.0946045906569865E-2</v>
      </c>
      <c r="AB35" s="2">
        <f>'912'!AA5</f>
        <v>0.1394886849092658</v>
      </c>
      <c r="AC35" s="2">
        <f>'912'!AB5</f>
        <v>0.32991815619490511</v>
      </c>
      <c r="AD35" s="2">
        <f>'912'!AC5</f>
        <v>0.40802823845539016</v>
      </c>
      <c r="AE35" s="2">
        <f>'912'!AD5</f>
        <v>0.16680300317096855</v>
      </c>
      <c r="AF35" s="3">
        <f>'912'!AE5</f>
        <v>0.31409447526737827</v>
      </c>
    </row>
    <row r="36" spans="1:32" x14ac:dyDescent="0.25">
      <c r="A36" s="33"/>
      <c r="B36" s="2">
        <v>4</v>
      </c>
      <c r="C36" s="1">
        <f>'912'!B6</f>
        <v>0.89450820867497716</v>
      </c>
      <c r="D36" s="2">
        <f>'912'!C6</f>
        <v>0.91828208166113989</v>
      </c>
      <c r="E36" s="2">
        <f>'912'!D6</f>
        <v>0.77885074137394905</v>
      </c>
      <c r="F36" s="2">
        <f>'912'!E6</f>
        <v>0.85732283190464487</v>
      </c>
      <c r="G36" s="2">
        <f>'912'!F6</f>
        <v>0.86754409614968087</v>
      </c>
      <c r="H36" s="2">
        <f>'912'!G6</f>
        <v>0.83934488383858041</v>
      </c>
      <c r="I36" s="2">
        <f>'912'!H6</f>
        <v>1.0156995714341424</v>
      </c>
      <c r="J36" s="2">
        <f>'912'!I6</f>
        <v>0.82438785370317869</v>
      </c>
      <c r="K36" s="2">
        <f>'912'!J6</f>
        <v>0.83291789498745517</v>
      </c>
      <c r="L36" s="2">
        <f>'912'!K6</f>
        <v>0.75540719306951731</v>
      </c>
      <c r="M36" s="2">
        <f>'912'!L6</f>
        <v>0.87611572864100917</v>
      </c>
      <c r="N36" s="2">
        <f>'912'!M6</f>
        <v>0.95457550025901572</v>
      </c>
      <c r="O36" s="2">
        <f>'912'!N6</f>
        <v>0.88806852573994366</v>
      </c>
      <c r="P36" s="2">
        <f>'912'!O6</f>
        <v>0.8190602875917723</v>
      </c>
      <c r="Q36" s="2">
        <f>'912'!P6</f>
        <v>0.82483081010183534</v>
      </c>
      <c r="R36" s="1">
        <f>'912'!Q6</f>
        <v>0.40992425380456871</v>
      </c>
      <c r="S36" s="2">
        <f>'912'!R6</f>
        <v>0.35562173899973148</v>
      </c>
      <c r="T36" s="2">
        <f>'912'!S6</f>
        <v>0.50073299013360817</v>
      </c>
      <c r="U36" s="2">
        <f>'912'!T6</f>
        <v>0.39759817271322712</v>
      </c>
      <c r="V36" s="2">
        <f>'912'!U6</f>
        <v>0.42552501230342221</v>
      </c>
      <c r="W36" s="2">
        <f>'912'!V6</f>
        <v>0.42790775580125967</v>
      </c>
      <c r="X36" s="2">
        <f>'912'!W6</f>
        <v>0.32612752990392913</v>
      </c>
      <c r="Y36" s="2">
        <f>'912'!X6</f>
        <v>0.43318309102838565</v>
      </c>
      <c r="Z36" s="2">
        <f>'912'!Y6</f>
        <v>0.49070048986033271</v>
      </c>
      <c r="AA36" s="2">
        <f>'912'!Z6</f>
        <v>0.58914174825970478</v>
      </c>
      <c r="AB36" s="2">
        <f>'912'!AA6</f>
        <v>0.49871396416619501</v>
      </c>
      <c r="AC36" s="2">
        <f>'912'!AB6</f>
        <v>0.27696234027664585</v>
      </c>
      <c r="AD36" s="2">
        <f>'912'!AC6</f>
        <v>0.39056315217772347</v>
      </c>
      <c r="AE36" s="2">
        <f>'912'!AD6</f>
        <v>0.45744275291014502</v>
      </c>
      <c r="AF36" s="3">
        <f>'912'!AE6</f>
        <v>0.43527570790237818</v>
      </c>
    </row>
    <row r="37" spans="1:32" x14ac:dyDescent="0.25">
      <c r="A37" s="33"/>
      <c r="B37" s="2">
        <v>5</v>
      </c>
      <c r="C37" s="1">
        <f>'912'!B7</f>
        <v>0.74639797033860122</v>
      </c>
      <c r="D37" s="2">
        <f>'912'!C7</f>
        <v>0.73504496106763195</v>
      </c>
      <c r="E37" s="2">
        <f>'912'!D7</f>
        <v>0.73312485153007867</v>
      </c>
      <c r="F37" s="2">
        <f>'912'!E7</f>
        <v>0.87271677552089222</v>
      </c>
      <c r="G37" s="2">
        <f>'912'!F7</f>
        <v>0.94408188127487125</v>
      </c>
      <c r="H37" s="2">
        <f>'912'!G7</f>
        <v>0.8198543519857151</v>
      </c>
      <c r="I37" s="2">
        <f>'912'!H7</f>
        <v>1.221585298632512</v>
      </c>
      <c r="J37" s="2">
        <f>'912'!I7</f>
        <v>0.72450672874722155</v>
      </c>
      <c r="K37" s="2">
        <f>'912'!J7</f>
        <v>0.97773623184139846</v>
      </c>
      <c r="L37" s="2">
        <f>'912'!K7</f>
        <v>0.95022475644423199</v>
      </c>
      <c r="M37" s="2">
        <f>'912'!L7</f>
        <v>0.76713936604379995</v>
      </c>
      <c r="N37" s="2">
        <f>'912'!M7</f>
        <v>0.83097977938841372</v>
      </c>
      <c r="O37" s="2">
        <f>'912'!N7</f>
        <v>0.80878927526174382</v>
      </c>
      <c r="P37" s="2">
        <f>'912'!O7</f>
        <v>0.73317951115569246</v>
      </c>
      <c r="Q37" s="2">
        <f>'912'!P7</f>
        <v>0.65857127269206794</v>
      </c>
      <c r="R37" s="1">
        <f>'912'!Q7</f>
        <v>0.30487322055215194</v>
      </c>
      <c r="S37" s="2">
        <f>'912'!R7</f>
        <v>0.49920188561738782</v>
      </c>
      <c r="T37" s="2">
        <f>'912'!S7</f>
        <v>0.3793218596902162</v>
      </c>
      <c r="U37" s="2">
        <f>'912'!T7</f>
        <v>0.47021182253123839</v>
      </c>
      <c r="V37" s="2">
        <f>'912'!U7</f>
        <v>0.44016079650716466</v>
      </c>
      <c r="W37" s="2">
        <f>'912'!V7</f>
        <v>0.45058001120033159</v>
      </c>
      <c r="X37" s="2">
        <f>'912'!W7</f>
        <v>0.12991872428710324</v>
      </c>
      <c r="Y37" s="2">
        <f>'912'!X7</f>
        <v>0.29427681173887538</v>
      </c>
      <c r="Z37" s="2">
        <f>'912'!Y7</f>
        <v>0.21477119436195438</v>
      </c>
      <c r="AA37" s="2">
        <f>'912'!Z7</f>
        <v>0.20156826907358305</v>
      </c>
      <c r="AB37" s="2">
        <f>'912'!AA7</f>
        <v>0.48602269444772517</v>
      </c>
      <c r="AC37" s="2">
        <f>'912'!AB7</f>
        <v>0.45293436449842644</v>
      </c>
      <c r="AD37" s="2">
        <f>'912'!AC7</f>
        <v>0.41363155589805017</v>
      </c>
      <c r="AE37" s="2">
        <f>'912'!AD7</f>
        <v>0.48629216001912612</v>
      </c>
      <c r="AF37" s="3">
        <f>'912'!AE7</f>
        <v>0.4826499816460243</v>
      </c>
    </row>
    <row r="38" spans="1:32" x14ac:dyDescent="0.25">
      <c r="A38" s="33"/>
      <c r="B38" s="2">
        <v>6</v>
      </c>
      <c r="C38" s="1">
        <f>'912'!B8</f>
        <v>1.3782157305601386</v>
      </c>
      <c r="D38" s="2">
        <f>'912'!C8</f>
        <v>0.7548386105628252</v>
      </c>
      <c r="E38" s="2">
        <f>'912'!D8</f>
        <v>1.0550775213680588</v>
      </c>
      <c r="F38" s="2">
        <f>'912'!E8</f>
        <v>0.74630299574273673</v>
      </c>
      <c r="G38" s="2">
        <f>'912'!F8</f>
        <v>1.2630205591579853</v>
      </c>
      <c r="H38" s="2">
        <f>'912'!G8</f>
        <v>0.83804041320789924</v>
      </c>
      <c r="I38" s="2">
        <f>'912'!H8</f>
        <v>0.82351052365442401</v>
      </c>
      <c r="J38" s="2">
        <f>'912'!I8</f>
        <v>1.4042057265707484</v>
      </c>
      <c r="K38" s="2">
        <f>'912'!J8</f>
        <v>1.2327818881327577</v>
      </c>
      <c r="L38" s="2">
        <f>'912'!K8</f>
        <v>1.1633525112397505</v>
      </c>
      <c r="M38" s="2">
        <f>'912'!L8</f>
        <v>0.73860664060620473</v>
      </c>
      <c r="N38" s="2">
        <f>'912'!M8</f>
        <v>0.83203746449413762</v>
      </c>
      <c r="O38" s="2">
        <f>'912'!N8</f>
        <v>0.75215406520821904</v>
      </c>
      <c r="P38" s="2">
        <f>'912'!O8</f>
        <v>0.68433545625427727</v>
      </c>
      <c r="Q38" s="2">
        <f>'912'!P8</f>
        <v>0.81565497534895237</v>
      </c>
      <c r="R38" s="1">
        <f>'912'!Q8</f>
        <v>0.63207095190830487</v>
      </c>
      <c r="S38" s="2">
        <f>'912'!R8</f>
        <v>0.87263205069824701</v>
      </c>
      <c r="T38" s="2">
        <f>'912'!S8</f>
        <v>0.82968291037266106</v>
      </c>
      <c r="U38" s="2">
        <f>'912'!T8</f>
        <v>0.8498216342719036</v>
      </c>
      <c r="V38" s="2">
        <f>'912'!U8</f>
        <v>0.906241277484094</v>
      </c>
      <c r="W38" s="2">
        <f>'912'!V8</f>
        <v>0.83767095755110454</v>
      </c>
      <c r="X38" s="2">
        <f>'912'!W8</f>
        <v>0.82598840591568756</v>
      </c>
      <c r="Y38" s="2">
        <f>'912'!X8</f>
        <v>0.61761401903945901</v>
      </c>
      <c r="Z38" s="2">
        <f>'912'!Y8</f>
        <v>0.77602099312404116</v>
      </c>
      <c r="AA38" s="2">
        <f>'912'!Z8</f>
        <v>0.82783275536057654</v>
      </c>
      <c r="AB38" s="2">
        <f>'912'!AA8</f>
        <v>0.90224702293735115</v>
      </c>
      <c r="AC38" s="2">
        <f>'912'!AB8</f>
        <v>0.90237865319165822</v>
      </c>
      <c r="AD38" s="2">
        <f>'912'!AC8</f>
        <v>0.92050245153018784</v>
      </c>
      <c r="AE38" s="2">
        <f>'912'!AD8</f>
        <v>0.90116141812999118</v>
      </c>
      <c r="AF38" s="3">
        <f>'912'!AE8</f>
        <v>0.84020412232122577</v>
      </c>
    </row>
    <row r="39" spans="1:32" x14ac:dyDescent="0.25">
      <c r="A39" s="33"/>
      <c r="B39" s="2">
        <v>7</v>
      </c>
      <c r="C39" s="1">
        <f>'912'!B9</f>
        <v>0.93210700905140198</v>
      </c>
      <c r="D39" s="2">
        <f>'912'!C9</f>
        <v>0.97340405947577413</v>
      </c>
      <c r="E39" s="2">
        <f>'912'!D9</f>
        <v>1.0204756497225123</v>
      </c>
      <c r="F39" s="2">
        <f>'912'!E9</f>
        <v>1.0290558393951061</v>
      </c>
      <c r="G39" s="2">
        <f>'912'!F9</f>
        <v>1.1102130595972333</v>
      </c>
      <c r="H39" s="2">
        <f>'912'!G9</f>
        <v>1.0166402885930204</v>
      </c>
      <c r="I39" s="2">
        <f>'912'!H9</f>
        <v>1.0528525045918113</v>
      </c>
      <c r="J39" s="2">
        <f>'912'!I9</f>
        <v>0.98018457577778006</v>
      </c>
      <c r="K39" s="2">
        <f>'912'!J9</f>
        <v>1.064880494854626</v>
      </c>
      <c r="L39" s="2">
        <f>'912'!K9</f>
        <v>1.0720712606834182</v>
      </c>
      <c r="M39" s="2">
        <f>'912'!L9</f>
        <v>1.0212931146293165</v>
      </c>
      <c r="N39" s="2">
        <f>'912'!M9</f>
        <v>1.0684227562840782</v>
      </c>
      <c r="O39" s="2">
        <f>'912'!N9</f>
        <v>1.0505199465887516</v>
      </c>
      <c r="P39" s="2">
        <f>'912'!O9</f>
        <v>0.89229541507563503</v>
      </c>
      <c r="Q39" s="2">
        <f>'912'!P9</f>
        <v>0.89899098058972005</v>
      </c>
      <c r="R39" s="1">
        <f>'912'!Q9</f>
        <v>0.68777701905966149</v>
      </c>
      <c r="S39" s="2">
        <f>'912'!R9</f>
        <v>0.58095747909945517</v>
      </c>
      <c r="T39" s="2">
        <f>'912'!S9</f>
        <v>0.55092677291632519</v>
      </c>
      <c r="U39" s="2">
        <f>'912'!T9</f>
        <v>0.54943692627553598</v>
      </c>
      <c r="V39" s="2">
        <f>'912'!U9</f>
        <v>0.59201883966946689</v>
      </c>
      <c r="W39" s="2">
        <f>'912'!V9</f>
        <v>0.57769060869394784</v>
      </c>
      <c r="X39" s="2">
        <f>'912'!W9</f>
        <v>0.58156508597802792</v>
      </c>
      <c r="Y39" s="2">
        <f>'912'!X9</f>
        <v>0.74449193961310856</v>
      </c>
      <c r="Z39" s="2">
        <f>'912'!Y9</f>
        <v>0.54649702360677443</v>
      </c>
      <c r="AA39" s="2">
        <f>'912'!Z9</f>
        <v>0.57887047958195248</v>
      </c>
      <c r="AB39" s="2">
        <f>'912'!AA9</f>
        <v>0.58671326912530164</v>
      </c>
      <c r="AC39" s="2">
        <f>'912'!AB9</f>
        <v>0.54389947731013577</v>
      </c>
      <c r="AD39" s="2">
        <f>'912'!AC9</f>
        <v>0.53256275713427992</v>
      </c>
      <c r="AE39" s="2">
        <f>'912'!AD9</f>
        <v>0.64785139892856414</v>
      </c>
      <c r="AF39" s="3">
        <f>'912'!AE9</f>
        <v>0.65391014053725049</v>
      </c>
    </row>
    <row r="40" spans="1:32" x14ac:dyDescent="0.25">
      <c r="A40" s="33"/>
      <c r="B40" s="2">
        <v>8</v>
      </c>
      <c r="C40" s="1">
        <f>'912'!B10</f>
        <v>1.2844552972964842</v>
      </c>
      <c r="D40" s="2">
        <f>'912'!C10</f>
        <v>0.9391827497168852</v>
      </c>
      <c r="E40" s="2">
        <f>'912'!D10</f>
        <v>1.0827652134513315</v>
      </c>
      <c r="F40" s="2">
        <f>'912'!E10</f>
        <v>0.93239120993616775</v>
      </c>
      <c r="G40" s="2">
        <f>'912'!F10</f>
        <v>1.1148621630917499</v>
      </c>
      <c r="H40" s="2">
        <f>'912'!G10</f>
        <v>0.96248713028239019</v>
      </c>
      <c r="I40" s="2">
        <f>'912'!H10</f>
        <v>1.1905399732277593</v>
      </c>
      <c r="J40" s="2">
        <f>'912'!I10</f>
        <v>0.87273275493616109</v>
      </c>
      <c r="K40" s="2">
        <f>'912'!J10</f>
        <v>1.153456656815204</v>
      </c>
      <c r="L40" s="2">
        <f>'912'!K10</f>
        <v>1.2191447944488352</v>
      </c>
      <c r="M40" s="2">
        <f>'912'!L10</f>
        <v>1.110567802850035</v>
      </c>
      <c r="N40" s="2">
        <f>'912'!M10</f>
        <v>1.0122862180145269</v>
      </c>
      <c r="O40" s="2">
        <f>'912'!N10</f>
        <v>1.0163941897719</v>
      </c>
      <c r="P40" s="2">
        <f>'912'!O10</f>
        <v>0.8987524642021637</v>
      </c>
      <c r="Q40" s="2">
        <f>'912'!P10</f>
        <v>0.96362704271010913</v>
      </c>
      <c r="R40" s="1">
        <f>'912'!Q10</f>
        <v>0.27397245709545348</v>
      </c>
      <c r="S40" s="2">
        <f>'912'!R10</f>
        <v>0.62491859799810612</v>
      </c>
      <c r="T40" s="2">
        <f>'912'!S10</f>
        <v>0.41786969546363883</v>
      </c>
      <c r="U40" s="2">
        <f>'912'!T10</f>
        <v>0.60285333335729285</v>
      </c>
      <c r="V40" s="2">
        <f>'912'!U10</f>
        <v>0.62268569289649278</v>
      </c>
      <c r="W40" s="2">
        <f>'912'!V10</f>
        <v>0.67292346496632682</v>
      </c>
      <c r="X40" s="2">
        <f>'912'!W10</f>
        <v>0.44756156633037558</v>
      </c>
      <c r="Y40" s="2">
        <f>'912'!X10</f>
        <v>0.67185507151352408</v>
      </c>
      <c r="Z40" s="2">
        <f>'912'!Y10</f>
        <v>0.37407359328688761</v>
      </c>
      <c r="AA40" s="2">
        <f>'912'!Z10</f>
        <v>0.26405770451526839</v>
      </c>
      <c r="AB40" s="2">
        <f>'912'!AA10</f>
        <v>0.38118395194048021</v>
      </c>
      <c r="AC40" s="2">
        <f>'912'!AB10</f>
        <v>0.53645479085233949</v>
      </c>
      <c r="AD40" s="2">
        <f>'912'!AC10</f>
        <v>0.52703827887454813</v>
      </c>
      <c r="AE40" s="2">
        <f>'912'!AD10</f>
        <v>0.70768971956499604</v>
      </c>
      <c r="AF40" s="3">
        <f>'912'!AE10</f>
        <v>0.54478842041460629</v>
      </c>
    </row>
    <row r="41" spans="1:32" x14ac:dyDescent="0.25">
      <c r="A41" s="33"/>
      <c r="B41" s="2">
        <v>9</v>
      </c>
      <c r="C41" s="1">
        <f>'912'!B11</f>
        <v>0.85668336625602226</v>
      </c>
      <c r="D41" s="2">
        <f>'912'!C11</f>
        <v>0.82568662627208844</v>
      </c>
      <c r="E41" s="2">
        <f>'912'!D11</f>
        <v>1.1599175837849431</v>
      </c>
      <c r="F41" s="2">
        <f>'912'!E11</f>
        <v>0.79434137367276392</v>
      </c>
      <c r="G41" s="2">
        <f>'912'!F11</f>
        <v>1.0202926131458565</v>
      </c>
      <c r="H41" s="2">
        <f>'912'!G11</f>
        <v>0.94173821491126186</v>
      </c>
      <c r="I41" s="2">
        <f>'912'!H11</f>
        <v>0.57413575354810475</v>
      </c>
      <c r="J41" s="2">
        <f>'912'!I11</f>
        <v>1.0229696965208697</v>
      </c>
      <c r="K41" s="2">
        <f>'912'!J11</f>
        <v>1.0392171197493252</v>
      </c>
      <c r="L41" s="2">
        <f>'912'!K11</f>
        <v>1.0047739013963126</v>
      </c>
      <c r="M41" s="2">
        <f>'912'!L11</f>
        <v>1.0169905390238807</v>
      </c>
      <c r="N41" s="2">
        <f>'912'!M11</f>
        <v>0.86426162173026833</v>
      </c>
      <c r="O41" s="2">
        <f>'912'!N11</f>
        <v>0.84118761295083089</v>
      </c>
      <c r="P41" s="2">
        <f>'912'!O11</f>
        <v>0.82615508777453528</v>
      </c>
      <c r="Q41" s="2">
        <f>'912'!P11</f>
        <v>0.77404643159368469</v>
      </c>
      <c r="R41" s="1">
        <f>'912'!Q11</f>
        <v>0.64371882832593086</v>
      </c>
      <c r="S41" s="2">
        <f>'912'!R11</f>
        <v>0.6232912784812269</v>
      </c>
      <c r="T41" s="2">
        <f>'912'!S11</f>
        <v>0.22607791196269958</v>
      </c>
      <c r="U41" s="2">
        <f>'912'!T11</f>
        <v>0.59532313993781927</v>
      </c>
      <c r="V41" s="2">
        <f>'912'!U11</f>
        <v>0.38934283903423439</v>
      </c>
      <c r="W41" s="2">
        <f>'912'!V11</f>
        <v>0.41916757291670059</v>
      </c>
      <c r="X41" s="2">
        <f>'912'!W11</f>
        <v>0.81739959229073245</v>
      </c>
      <c r="Y41" s="2">
        <f>'912'!X11</f>
        <v>0.32610162113843377</v>
      </c>
      <c r="Z41" s="2">
        <f>'912'!Y11</f>
        <v>0.28774767547515712</v>
      </c>
      <c r="AA41" s="2">
        <f>'912'!Z11</f>
        <v>0.37496639459844083</v>
      </c>
      <c r="AB41" s="2">
        <f>'912'!AA11</f>
        <v>0.39267518345434888</v>
      </c>
      <c r="AC41" s="2">
        <f>'912'!AB11</f>
        <v>0.54105730835116927</v>
      </c>
      <c r="AD41" s="2">
        <f>'912'!AC11</f>
        <v>0.63191353012087137</v>
      </c>
      <c r="AE41" s="2">
        <f>'912'!AD11</f>
        <v>0.59401622850992009</v>
      </c>
      <c r="AF41" s="3">
        <f>'912'!AE11</f>
        <v>0.62688046993512603</v>
      </c>
    </row>
    <row r="42" spans="1:32" x14ac:dyDescent="0.25">
      <c r="A42" s="34"/>
      <c r="B42" s="8">
        <v>10</v>
      </c>
      <c r="C42" s="1">
        <f>'912'!B12</f>
        <v>2.4875312691941462</v>
      </c>
      <c r="D42" s="2">
        <f>'912'!C12</f>
        <v>1.4357780444914121</v>
      </c>
      <c r="E42" s="2">
        <f>'912'!D12</f>
        <v>1.7084130335676539</v>
      </c>
      <c r="F42" s="2">
        <f>'912'!E12</f>
        <v>1.2997220429770422</v>
      </c>
      <c r="G42" s="2">
        <f>'912'!F12</f>
        <v>1.6270587608281852</v>
      </c>
      <c r="H42" s="2">
        <f>'912'!G12</f>
        <v>0.99781091843152658</v>
      </c>
      <c r="I42" s="2">
        <f>'912'!H12</f>
        <v>1.345077597369231</v>
      </c>
      <c r="J42" s="2">
        <f>'912'!I12</f>
        <v>1.3305952261617415</v>
      </c>
      <c r="K42" s="2">
        <f>'912'!J12</f>
        <v>1.3241286970712414</v>
      </c>
      <c r="L42" s="2">
        <f>'912'!K12</f>
        <v>1.245048566278641</v>
      </c>
      <c r="M42" s="2">
        <f>'912'!L12</f>
        <v>1.3295398481462799</v>
      </c>
      <c r="N42" s="2">
        <f>'912'!M12</f>
        <v>1.2831802948586362</v>
      </c>
      <c r="O42" s="2">
        <f>'912'!N12</f>
        <v>1.1937798703916618</v>
      </c>
      <c r="P42" s="2">
        <f>'912'!O12</f>
        <v>1.1337173577552666</v>
      </c>
      <c r="Q42" s="2">
        <f>'912'!P12</f>
        <v>1.0999005496243739</v>
      </c>
      <c r="R42" s="1">
        <f>'912'!Q12</f>
        <v>4.0611707334929498E-3</v>
      </c>
      <c r="S42" s="2">
        <f>'912'!R12</f>
        <v>0.433408857795053</v>
      </c>
      <c r="T42" s="2">
        <f>'912'!S12</f>
        <v>0.14051633532900887</v>
      </c>
      <c r="U42" s="2">
        <f>'912'!T12</f>
        <v>0.48969848088575429</v>
      </c>
      <c r="V42" s="2">
        <f>'912'!U12</f>
        <v>0.19904663734212419</v>
      </c>
      <c r="W42" s="2">
        <f>'912'!V12</f>
        <v>0.72518454971783286</v>
      </c>
      <c r="X42" s="2">
        <f>'912'!W12</f>
        <v>0.45813285922117619</v>
      </c>
      <c r="Y42" s="2">
        <f>'912'!X12</f>
        <v>0.46801324563617608</v>
      </c>
      <c r="Z42" s="2">
        <f>'912'!Y12</f>
        <v>0.53237560029992437</v>
      </c>
      <c r="AA42" s="2">
        <f>'912'!Z12</f>
        <v>0.5670630273750199</v>
      </c>
      <c r="AB42" s="2">
        <f>'912'!AA12</f>
        <v>0.4607408123950375</v>
      </c>
      <c r="AC42" s="2">
        <f>'912'!AB12</f>
        <v>0.52389452864696884</v>
      </c>
      <c r="AD42" s="2">
        <f>'912'!AC12</f>
        <v>0.57029793897840142</v>
      </c>
      <c r="AE42" s="2">
        <f>'912'!AD12</f>
        <v>0.60553296080859997</v>
      </c>
      <c r="AF42" s="3">
        <f>'912'!AE12</f>
        <v>0.6600007167365658</v>
      </c>
    </row>
    <row r="43" spans="1:32" x14ac:dyDescent="0.25">
      <c r="A43" s="32">
        <v>1257</v>
      </c>
      <c r="B43" s="5">
        <v>1</v>
      </c>
      <c r="C43" s="4">
        <f>'1257'!B3</f>
        <v>0.83851552252914985</v>
      </c>
      <c r="D43" s="5">
        <f>'1257'!C3</f>
        <v>0.86575329121311073</v>
      </c>
      <c r="E43" s="5">
        <f>'1257'!D3</f>
        <v>0.99381741147816816</v>
      </c>
      <c r="F43" s="5">
        <f>'1257'!E3</f>
        <v>0.85528462764669744</v>
      </c>
      <c r="G43" s="5">
        <f>'1257'!F3</f>
        <v>1.0415156271769281</v>
      </c>
      <c r="H43" s="5">
        <f>'1257'!G3</f>
        <v>0.7013216584093207</v>
      </c>
      <c r="I43" s="5">
        <f>'1257'!H3</f>
        <v>1.4101064705137814</v>
      </c>
      <c r="J43" s="5">
        <f>'1257'!I3</f>
        <v>0.9598913823190709</v>
      </c>
      <c r="K43" s="5">
        <f>'1257'!J3</f>
        <v>1.0913300371040757</v>
      </c>
      <c r="L43" s="5">
        <f>'1257'!K3</f>
        <v>1.0318738356271646</v>
      </c>
      <c r="M43" s="5">
        <f>'1257'!L3</f>
        <v>0.9757019663797617</v>
      </c>
      <c r="N43" s="5">
        <f>'1257'!M3</f>
        <v>0.86749925106706383</v>
      </c>
      <c r="O43" s="5">
        <f>'1257'!N3</f>
        <v>0.95686053265013504</v>
      </c>
      <c r="P43" s="5">
        <f>'1257'!O3</f>
        <v>0.75292805686283859</v>
      </c>
      <c r="Q43" s="5">
        <f>'1257'!P3</f>
        <v>0.77458994255143365</v>
      </c>
      <c r="R43" s="4">
        <f>'1257'!Q3</f>
        <v>0.62760564635583316</v>
      </c>
      <c r="S43" s="5">
        <f>'1257'!R3</f>
        <v>0.5607646747081223</v>
      </c>
      <c r="T43" s="5">
        <f>'1257'!S3</f>
        <v>0.55014984096787567</v>
      </c>
      <c r="U43" s="5">
        <f>'1257'!T3</f>
        <v>0.71737617539734921</v>
      </c>
      <c r="V43" s="5">
        <f>'1257'!U3</f>
        <v>0.60576568596606972</v>
      </c>
      <c r="W43" s="5">
        <f>'1257'!V3</f>
        <v>0.7538472475445207</v>
      </c>
      <c r="X43" s="5">
        <f>'1257'!W3</f>
        <v>0.19808781954383145</v>
      </c>
      <c r="Y43" s="5">
        <f>'1257'!X3</f>
        <v>0.46663865517097242</v>
      </c>
      <c r="Z43" s="5">
        <f>'1257'!Y3</f>
        <v>0.34755938690031313</v>
      </c>
      <c r="AA43" s="5">
        <f>'1257'!Z3</f>
        <v>0.43636745480830841</v>
      </c>
      <c r="AB43" s="5">
        <f>'1257'!AA3</f>
        <v>0.44647451205475497</v>
      </c>
      <c r="AC43" s="5">
        <f>'1257'!AB3</f>
        <v>0.61748622955092636</v>
      </c>
      <c r="AD43" s="5">
        <f>'1257'!AC3</f>
        <v>0.46633172950250534</v>
      </c>
      <c r="AE43" s="5">
        <f>'1257'!AD3</f>
        <v>0.7370015392750402</v>
      </c>
      <c r="AF43" s="6">
        <f>'1257'!AE3</f>
        <v>0.68789692684891079</v>
      </c>
    </row>
    <row r="44" spans="1:32" x14ac:dyDescent="0.25">
      <c r="A44" s="33"/>
      <c r="B44" s="2">
        <v>2</v>
      </c>
      <c r="C44" s="1">
        <f>'1257'!B4</f>
        <v>1.1979601884644719</v>
      </c>
      <c r="D44" s="2">
        <f>'1257'!C4</f>
        <v>0.85256904789421606</v>
      </c>
      <c r="E44" s="2">
        <f>'1257'!D4</f>
        <v>0.98747078799434207</v>
      </c>
      <c r="F44" s="2">
        <f>'1257'!E4</f>
        <v>0.7238652425226213</v>
      </c>
      <c r="G44" s="2">
        <f>'1257'!F4</f>
        <v>1.0407335987575463</v>
      </c>
      <c r="H44" s="2">
        <f>'1257'!G4</f>
        <v>0.59283734390738807</v>
      </c>
      <c r="I44" s="2">
        <f>'1257'!H4</f>
        <v>0.85300901285825625</v>
      </c>
      <c r="J44" s="2">
        <f>'1257'!I4</f>
        <v>1.0558481582752954</v>
      </c>
      <c r="K44" s="2">
        <f>'1257'!J4</f>
        <v>1.017453247082841</v>
      </c>
      <c r="L44" s="2">
        <f>'1257'!K4</f>
        <v>0.88763878138839047</v>
      </c>
      <c r="M44" s="2">
        <f>'1257'!L4</f>
        <v>0.71473372563068305</v>
      </c>
      <c r="N44" s="2">
        <f>'1257'!M4</f>
        <v>0.79049830481528138</v>
      </c>
      <c r="O44" s="2">
        <f>'1257'!N4</f>
        <v>0.66462578160527064</v>
      </c>
      <c r="P44" s="2">
        <f>'1257'!O4</f>
        <v>0.52713416724460838</v>
      </c>
      <c r="Q44" s="2">
        <f>'1257'!P4</f>
        <v>0.50103353595393207</v>
      </c>
      <c r="R44" s="1">
        <f>'1257'!Q4</f>
        <v>0.47088285431509985</v>
      </c>
      <c r="S44" s="2">
        <f>'1257'!R4</f>
        <v>0.7293474353029693</v>
      </c>
      <c r="T44" s="2">
        <f>'1257'!S4</f>
        <v>0.77741573523619922</v>
      </c>
      <c r="U44" s="2">
        <f>'1257'!T4</f>
        <v>0.79493649885714568</v>
      </c>
      <c r="V44" s="2">
        <f>'1257'!U4</f>
        <v>0.87146217697345663</v>
      </c>
      <c r="W44" s="2">
        <f>'1257'!V4</f>
        <v>0.91049825968496656</v>
      </c>
      <c r="X44" s="2">
        <f>'1257'!W4</f>
        <v>0.74255459084003383</v>
      </c>
      <c r="Y44" s="2">
        <f>'1257'!X4</f>
        <v>0.65511903899938384</v>
      </c>
      <c r="Z44" s="2">
        <f>'1257'!Y4</f>
        <v>0.67252761830489682</v>
      </c>
      <c r="AA44" s="2">
        <f>'1257'!Z4</f>
        <v>0.81119663346672055</v>
      </c>
      <c r="AB44" s="2">
        <f>'1257'!AA4</f>
        <v>0.82168227488710499</v>
      </c>
      <c r="AC44" s="2">
        <f>'1257'!AB4</f>
        <v>0.75762927687088555</v>
      </c>
      <c r="AD44" s="2">
        <f>'1257'!AC4</f>
        <v>0.83249897550040863</v>
      </c>
      <c r="AE44" s="2">
        <f>'1257'!AD4</f>
        <v>0.91036813050861753</v>
      </c>
      <c r="AF44" s="3">
        <f>'1257'!AE4</f>
        <v>0.9041047827633979</v>
      </c>
    </row>
    <row r="45" spans="1:32" x14ac:dyDescent="0.25">
      <c r="A45" s="33"/>
      <c r="B45" s="2">
        <v>3</v>
      </c>
      <c r="C45" s="1">
        <f>'1257'!B5</f>
        <v>2.1693501454980417</v>
      </c>
      <c r="D45" s="2">
        <f>'1257'!C5</f>
        <v>0.74232051957032286</v>
      </c>
      <c r="E45" s="2">
        <f>'1257'!D5</f>
        <v>1.487299285795902</v>
      </c>
      <c r="F45" s="2">
        <f>'1257'!E5</f>
        <v>1.1551182680966547</v>
      </c>
      <c r="G45" s="2">
        <f>'1257'!F5</f>
        <v>1.4307035917423232</v>
      </c>
      <c r="H45" s="2">
        <f>'1257'!G5</f>
        <v>1.0378824511755431</v>
      </c>
      <c r="I45" s="2">
        <f>'1257'!H5</f>
        <v>1.408911882461672</v>
      </c>
      <c r="J45" s="2">
        <f>'1257'!I5</f>
        <v>1.2604506079083535</v>
      </c>
      <c r="K45" s="2">
        <f>'1257'!J5</f>
        <v>1.3873313509438236</v>
      </c>
      <c r="L45" s="2">
        <f>'1257'!K5</f>
        <v>1.294002411690595</v>
      </c>
      <c r="M45" s="2">
        <f>'1257'!L5</f>
        <v>0.91619377555145542</v>
      </c>
      <c r="N45" s="2">
        <f>'1257'!M5</f>
        <v>0.69709525205229017</v>
      </c>
      <c r="O45" s="2">
        <f>'1257'!N5</f>
        <v>0.68547153235463787</v>
      </c>
      <c r="P45" s="2">
        <f>'1257'!O5</f>
        <v>0.70170847868563457</v>
      </c>
      <c r="Q45" s="2">
        <f>'1257'!P5</f>
        <v>0.56251308775023878</v>
      </c>
      <c r="R45" s="1">
        <f>'1257'!Q5</f>
        <v>6.1043884168457525E-2</v>
      </c>
      <c r="S45" s="2">
        <f>'1257'!R5</f>
        <v>0.87139524375834843</v>
      </c>
      <c r="T45" s="2">
        <f>'1257'!S5</f>
        <v>0.30119100247129382</v>
      </c>
      <c r="U45" s="2">
        <f>'1257'!T5</f>
        <v>0.65564834628633872</v>
      </c>
      <c r="V45" s="2">
        <f>'1257'!U5</f>
        <v>0.46864415992671349</v>
      </c>
      <c r="W45" s="2">
        <f>'1257'!V5</f>
        <v>0.69704659790139378</v>
      </c>
      <c r="X45" s="2">
        <f>'1257'!W5</f>
        <v>0.41560295630622412</v>
      </c>
      <c r="Y45" s="2">
        <f>'1257'!X5</f>
        <v>0.56788268587634316</v>
      </c>
      <c r="Z45" s="2">
        <f>'1257'!Y5</f>
        <v>0.50331606889988756</v>
      </c>
      <c r="AA45" s="2">
        <f>'1257'!Z5</f>
        <v>0.55181812671608876</v>
      </c>
      <c r="AB45" s="2">
        <f>'1257'!AA5</f>
        <v>0.73709366609307125</v>
      </c>
      <c r="AC45" s="2">
        <f>'1257'!AB5</f>
        <v>0.8649218077505525</v>
      </c>
      <c r="AD45" s="2">
        <f>'1257'!AC5</f>
        <v>0.86046434639464831</v>
      </c>
      <c r="AE45" s="2">
        <f>'1257'!AD5</f>
        <v>0.85064491121445363</v>
      </c>
      <c r="AF45" s="3">
        <f>'1257'!AE5</f>
        <v>0.89716220374674049</v>
      </c>
    </row>
    <row r="46" spans="1:32" x14ac:dyDescent="0.25">
      <c r="A46" s="33"/>
      <c r="B46" s="2">
        <v>4</v>
      </c>
      <c r="C46" s="1">
        <f>'1257'!B6</f>
        <v>1.3988221511421077</v>
      </c>
      <c r="D46" s="2">
        <f>'1257'!C6</f>
        <v>0.9712976187813136</v>
      </c>
      <c r="E46" s="2">
        <f>'1257'!D6</f>
        <v>1.0858302568968825</v>
      </c>
      <c r="F46" s="2">
        <f>'1257'!E6</f>
        <v>1.1146602627364015</v>
      </c>
      <c r="G46" s="2">
        <f>'1257'!F6</f>
        <v>0.95336656332060965</v>
      </c>
      <c r="H46" s="2">
        <f>'1257'!G6</f>
        <v>1.0799405710155998</v>
      </c>
      <c r="I46" s="2">
        <f>'1257'!H6</f>
        <v>1.0933070315007583</v>
      </c>
      <c r="J46" s="2">
        <f>'1257'!I6</f>
        <v>1.0655829304182522</v>
      </c>
      <c r="K46" s="2">
        <f>'1257'!J6</f>
        <v>1.1053782272562862</v>
      </c>
      <c r="L46" s="2">
        <f>'1257'!K6</f>
        <v>1.0310458034727408</v>
      </c>
      <c r="M46" s="2">
        <f>'1257'!L6</f>
        <v>0.94208551140545793</v>
      </c>
      <c r="N46" s="2">
        <f>'1257'!M6</f>
        <v>0.91066025696386899</v>
      </c>
      <c r="O46" s="2">
        <f>'1257'!N6</f>
        <v>0.83841152678661734</v>
      </c>
      <c r="P46" s="2">
        <f>'1257'!O6</f>
        <v>0.920288101439933</v>
      </c>
      <c r="Q46" s="2">
        <f>'1257'!P6</f>
        <v>0.93974071537077908</v>
      </c>
      <c r="R46" s="1">
        <f>'1257'!Q6</f>
        <v>0.16204281047484653</v>
      </c>
      <c r="S46" s="2">
        <f>'1257'!R6</f>
        <v>0.49108632916911532</v>
      </c>
      <c r="T46" s="2">
        <f>'1257'!S6</f>
        <v>0.25513812519153034</v>
      </c>
      <c r="U46" s="2">
        <f>'1257'!T6</f>
        <v>0.40195053020602073</v>
      </c>
      <c r="V46" s="2">
        <f>'1257'!U6</f>
        <v>0.50608848133080442</v>
      </c>
      <c r="W46" s="2">
        <f>'1257'!V6</f>
        <v>0.32994635285777379</v>
      </c>
      <c r="X46" s="2">
        <f>'1257'!W6</f>
        <v>0.43298006669423772</v>
      </c>
      <c r="Y46" s="2">
        <f>'1257'!X6</f>
        <v>0.2931443988707817</v>
      </c>
      <c r="Z46" s="2">
        <f>'1257'!Y6</f>
        <v>0.27081656798225134</v>
      </c>
      <c r="AA46" s="2">
        <f>'1257'!Z6</f>
        <v>0.34450770012817694</v>
      </c>
      <c r="AB46" s="2">
        <f>'1257'!AA6</f>
        <v>0.47267820220081924</v>
      </c>
      <c r="AC46" s="2">
        <f>'1257'!AB6</f>
        <v>0.53557005721626672</v>
      </c>
      <c r="AD46" s="2">
        <f>'1257'!AC6</f>
        <v>0.60756418511180532</v>
      </c>
      <c r="AE46" s="2">
        <f>'1257'!AD6</f>
        <v>0.46157512316862909</v>
      </c>
      <c r="AF46" s="3">
        <f>'1257'!AE6</f>
        <v>0.47510741043343824</v>
      </c>
    </row>
    <row r="47" spans="1:32" x14ac:dyDescent="0.25">
      <c r="A47" s="33"/>
      <c r="B47" s="2">
        <v>5</v>
      </c>
      <c r="C47" s="1">
        <f>'1257'!B7</f>
        <v>0.68816692328148177</v>
      </c>
      <c r="D47" s="2">
        <f>'1257'!C7</f>
        <v>0.5695785097349032</v>
      </c>
      <c r="E47" s="2">
        <f>'1257'!D7</f>
        <v>0.9732083699965457</v>
      </c>
      <c r="F47" s="2">
        <f>'1257'!E7</f>
        <v>1.2505942638583532</v>
      </c>
      <c r="G47" s="2">
        <f>'1257'!F7</f>
        <v>0.77166513083142696</v>
      </c>
      <c r="H47" s="2">
        <f>'1257'!G7</f>
        <v>0.67661248952964204</v>
      </c>
      <c r="I47" s="2">
        <f>'1257'!H7</f>
        <v>0.8107386564153497</v>
      </c>
      <c r="J47" s="2">
        <f>'1257'!I7</f>
        <v>0.8560214171775532</v>
      </c>
      <c r="K47" s="2">
        <f>'1257'!J7</f>
        <v>0.84231238196947045</v>
      </c>
      <c r="L47" s="2">
        <f>'1257'!K7</f>
        <v>0.95332981108476644</v>
      </c>
      <c r="M47" s="2">
        <f>'1257'!L7</f>
        <v>0.64656845988630618</v>
      </c>
      <c r="N47" s="2">
        <f>'1257'!M7</f>
        <v>0.66091214286439193</v>
      </c>
      <c r="O47" s="2">
        <f>'1257'!N7</f>
        <v>0.50862883425768657</v>
      </c>
      <c r="P47" s="2">
        <f>'1257'!O7</f>
        <v>0.60129696338657546</v>
      </c>
      <c r="Q47" s="2">
        <f>'1257'!P7</f>
        <v>0.57771356723249967</v>
      </c>
      <c r="R47" s="1">
        <f>'1257'!Q7</f>
        <v>0.81494348634992098</v>
      </c>
      <c r="S47" s="2">
        <f>'1257'!R7</f>
        <v>0.81423754357646227</v>
      </c>
      <c r="T47" s="2">
        <f>'1257'!S7</f>
        <v>0.403275589476285</v>
      </c>
      <c r="U47" s="2">
        <f>'1257'!T7</f>
        <v>0.32785925163856522</v>
      </c>
      <c r="V47" s="2">
        <f>'1257'!U7</f>
        <v>0.73602058917786506</v>
      </c>
      <c r="W47" s="2">
        <f>'1257'!V7</f>
        <v>0.74009234309197558</v>
      </c>
      <c r="X47" s="2">
        <f>'1257'!W7</f>
        <v>0.79132884271352655</v>
      </c>
      <c r="Y47" s="2">
        <f>'1257'!X7</f>
        <v>0.50599290565030486</v>
      </c>
      <c r="Z47" s="2">
        <f>'1257'!Y7</f>
        <v>0.55012001874771066</v>
      </c>
      <c r="AA47" s="2">
        <f>'1257'!Z7</f>
        <v>0.40601074718701341</v>
      </c>
      <c r="AB47" s="2">
        <f>'1257'!AA7</f>
        <v>0.74418866967754249</v>
      </c>
      <c r="AC47" s="2">
        <f>'1257'!AB7</f>
        <v>0.78664215990709685</v>
      </c>
      <c r="AD47" s="2">
        <f>'1257'!AC7</f>
        <v>0.85016494442448298</v>
      </c>
      <c r="AE47" s="2">
        <f>'1257'!AD7</f>
        <v>0.81377438518238665</v>
      </c>
      <c r="AF47" s="3">
        <f>'1257'!AE7</f>
        <v>0.81080039273333959</v>
      </c>
    </row>
    <row r="48" spans="1:32" x14ac:dyDescent="0.25">
      <c r="A48" s="33"/>
      <c r="B48" s="2">
        <v>6</v>
      </c>
      <c r="C48" s="1">
        <f>'1257'!B8</f>
        <v>1.3502125098237567</v>
      </c>
      <c r="D48" s="2">
        <f>'1257'!C8</f>
        <v>1.4820456754265932</v>
      </c>
      <c r="E48" s="2">
        <f>'1257'!D8</f>
        <v>1.0787127244672234</v>
      </c>
      <c r="F48" s="2">
        <f>'1257'!E8</f>
        <v>1.2073655385897706</v>
      </c>
      <c r="G48" s="2">
        <f>'1257'!F8</f>
        <v>0.87383432684162166</v>
      </c>
      <c r="H48" s="2">
        <f>'1257'!G8</f>
        <v>1.1898544154617545</v>
      </c>
      <c r="I48" s="2">
        <f>'1257'!H8</f>
        <v>0.96317600406415871</v>
      </c>
      <c r="J48" s="2">
        <f>'1257'!I8</f>
        <v>0.91758124072658187</v>
      </c>
      <c r="K48" s="2">
        <f>'1257'!J8</f>
        <v>1.0971543227647302</v>
      </c>
      <c r="L48" s="2">
        <f>'1257'!K8</f>
        <v>0.8305579191490301</v>
      </c>
      <c r="M48" s="2">
        <f>'1257'!L8</f>
        <v>1.0078741968530063</v>
      </c>
      <c r="N48" s="2">
        <f>'1257'!M8</f>
        <v>1.1853864427722858</v>
      </c>
      <c r="O48" s="2">
        <f>'1257'!N8</f>
        <v>1.1806174701124268</v>
      </c>
      <c r="P48" s="2">
        <f>'1257'!O8</f>
        <v>0.92003010278350861</v>
      </c>
      <c r="Q48" s="2">
        <f>'1257'!P8</f>
        <v>0.81046061951152204</v>
      </c>
      <c r="R48" s="1">
        <f>'1257'!Q8</f>
        <v>0.16852753892029931</v>
      </c>
      <c r="S48" s="2">
        <f>'1257'!R8</f>
        <v>0.35779839427113586</v>
      </c>
      <c r="T48" s="2">
        <f>'1257'!S8</f>
        <v>9.4449927335213776E-2</v>
      </c>
      <c r="U48" s="2">
        <f>'1257'!T8</f>
        <v>0.31847215649336313</v>
      </c>
      <c r="V48" s="2">
        <f>'1257'!U8</f>
        <v>0.20630178155282</v>
      </c>
      <c r="W48" s="2">
        <f>'1257'!V8</f>
        <v>0.31500888330041193</v>
      </c>
      <c r="X48" s="2">
        <f>'1257'!W8</f>
        <v>0.27782227783222757</v>
      </c>
      <c r="Y48" s="2">
        <f>'1257'!X8</f>
        <v>0.1768188042692071</v>
      </c>
      <c r="Z48" s="2">
        <f>'1257'!Y8</f>
        <v>2.2209454002884772E-2</v>
      </c>
      <c r="AA48" s="2">
        <f>'1257'!Z8</f>
        <v>0.26176035885840954</v>
      </c>
      <c r="AB48" s="2">
        <f>'1257'!AA8</f>
        <v>0.44550557438068794</v>
      </c>
      <c r="AC48" s="2">
        <f>'1257'!AB8</f>
        <v>0.32479201331214747</v>
      </c>
      <c r="AD48" s="2">
        <f>'1257'!AC8</f>
        <v>0.33527246441967878</v>
      </c>
      <c r="AE48" s="2">
        <f>'1257'!AD8</f>
        <v>0.39398600203913053</v>
      </c>
      <c r="AF48" s="3">
        <f>'1257'!AE8</f>
        <v>0.4634178097852491</v>
      </c>
    </row>
    <row r="49" spans="1:32" x14ac:dyDescent="0.25">
      <c r="A49" s="33"/>
      <c r="B49" s="2">
        <v>7</v>
      </c>
      <c r="C49" s="1">
        <f>'1257'!B9</f>
        <v>0.9416598803459596</v>
      </c>
      <c r="D49" s="2">
        <f>'1257'!C9</f>
        <v>0.90028286574216032</v>
      </c>
      <c r="E49" s="2">
        <f>'1257'!D9</f>
        <v>1.0271530177920183</v>
      </c>
      <c r="F49" s="2">
        <f>'1257'!E9</f>
        <v>1.0376989134406955</v>
      </c>
      <c r="G49" s="2">
        <f>'1257'!F9</f>
        <v>1.1042069099943033</v>
      </c>
      <c r="H49" s="2">
        <f>'1257'!G9</f>
        <v>1.1157666242585187</v>
      </c>
      <c r="I49" s="2">
        <f>'1257'!H9</f>
        <v>0.9761003774122482</v>
      </c>
      <c r="J49" s="2">
        <f>'1257'!I9</f>
        <v>1.144668802172343</v>
      </c>
      <c r="K49" s="2">
        <f>'1257'!J9</f>
        <v>1.3127346476162527</v>
      </c>
      <c r="L49" s="2">
        <f>'1257'!K9</f>
        <v>1.191921374751183</v>
      </c>
      <c r="M49" s="2">
        <f>'1257'!L9</f>
        <v>1.0318225538608452</v>
      </c>
      <c r="N49" s="2">
        <f>'1257'!M9</f>
        <v>1.1499952925277928</v>
      </c>
      <c r="O49" s="2">
        <f>'1257'!N9</f>
        <v>1.0890000194395089</v>
      </c>
      <c r="P49" s="2">
        <f>'1257'!O9</f>
        <v>0.98588751760148419</v>
      </c>
      <c r="Q49" s="2">
        <f>'1257'!P9</f>
        <v>0.93822906224568459</v>
      </c>
      <c r="R49" s="1">
        <f>'1257'!Q9</f>
        <v>0.77223168008798171</v>
      </c>
      <c r="S49" s="2">
        <f>'1257'!R9</f>
        <v>0.66178329165502814</v>
      </c>
      <c r="T49" s="2">
        <f>'1257'!S9</f>
        <v>0.45061596381368524</v>
      </c>
      <c r="U49" s="2">
        <f>'1257'!T9</f>
        <v>0.45312738562226579</v>
      </c>
      <c r="V49" s="2">
        <f>'1257'!U9</f>
        <v>0.47375312951400728</v>
      </c>
      <c r="W49" s="2">
        <f>'1257'!V9</f>
        <v>0.33936435261886594</v>
      </c>
      <c r="X49" s="2">
        <f>'1257'!W9</f>
        <v>0.60298339836687986</v>
      </c>
      <c r="Y49" s="2">
        <f>'1257'!X9</f>
        <v>0.27295556547282301</v>
      </c>
      <c r="Z49" s="2">
        <f>'1257'!Y9</f>
        <v>2.1765966256329483E-2</v>
      </c>
      <c r="AA49" s="2">
        <f>'1257'!Z9</f>
        <v>0.131454779377803</v>
      </c>
      <c r="AB49" s="2">
        <f>'1257'!AA9</f>
        <v>0.49925177178863411</v>
      </c>
      <c r="AC49" s="2">
        <f>'1257'!AB9</f>
        <v>0.20579570694312616</v>
      </c>
      <c r="AD49" s="2">
        <f>'1257'!AC9</f>
        <v>0.37554526587211506</v>
      </c>
      <c r="AE49" s="2">
        <f>'1257'!AD9</f>
        <v>0.63464674748083461</v>
      </c>
      <c r="AF49" s="3">
        <f>'1257'!AE9</f>
        <v>0.6794445970409686</v>
      </c>
    </row>
    <row r="50" spans="1:32" x14ac:dyDescent="0.25">
      <c r="A50" s="33"/>
      <c r="B50" s="2">
        <v>8</v>
      </c>
      <c r="C50" s="1">
        <f>'1257'!B10</f>
        <v>1.155292683562648</v>
      </c>
      <c r="D50" s="2">
        <f>'1257'!C10</f>
        <v>0.89066172452059489</v>
      </c>
      <c r="E50" s="2">
        <f>'1257'!D10</f>
        <v>0.87953740183982732</v>
      </c>
      <c r="F50" s="2">
        <f>'1257'!E10</f>
        <v>0.98818643382499904</v>
      </c>
      <c r="G50" s="2">
        <f>'1257'!F10</f>
        <v>1.0729289242098006</v>
      </c>
      <c r="H50" s="2">
        <f>'1257'!G10</f>
        <v>1.0910672281899392</v>
      </c>
      <c r="I50" s="2">
        <f>'1257'!H10</f>
        <v>1.278109334518825</v>
      </c>
      <c r="J50" s="2">
        <f>'1257'!I10</f>
        <v>0.74742815516090277</v>
      </c>
      <c r="K50" s="2">
        <f>'1257'!J10</f>
        <v>1.0817884625681036</v>
      </c>
      <c r="L50" s="2">
        <f>'1257'!K10</f>
        <v>0.99734498060743559</v>
      </c>
      <c r="M50" s="2">
        <f>'1257'!L10</f>
        <v>0.93979334819191462</v>
      </c>
      <c r="N50" s="2">
        <f>'1257'!M10</f>
        <v>1.0617793077799969</v>
      </c>
      <c r="O50" s="2">
        <f>'1257'!N10</f>
        <v>0.96312339400399216</v>
      </c>
      <c r="P50" s="2">
        <f>'1257'!O10</f>
        <v>1.0001707452151511</v>
      </c>
      <c r="Q50" s="2">
        <f>'1257'!P10</f>
        <v>0.81864114489420359</v>
      </c>
      <c r="R50" s="1">
        <f>'1257'!Q10</f>
        <v>0.2801947223393485</v>
      </c>
      <c r="S50" s="2">
        <f>'1257'!R10</f>
        <v>0.45584666875167851</v>
      </c>
      <c r="T50" s="2">
        <f>'1257'!S10</f>
        <v>0.46475729316575748</v>
      </c>
      <c r="U50" s="2">
        <f>'1257'!T10</f>
        <v>0.33353215445612894</v>
      </c>
      <c r="V50" s="2">
        <f>'1257'!U10</f>
        <v>0.18089078952414528</v>
      </c>
      <c r="W50" s="2">
        <f>'1257'!V10</f>
        <v>0.13234230128792515</v>
      </c>
      <c r="X50" s="2">
        <f>'1257'!W10</f>
        <v>3.9669322077732855E-2</v>
      </c>
      <c r="Y50" s="2">
        <f>'1257'!X10</f>
        <v>0.66894685328266523</v>
      </c>
      <c r="Z50" s="2">
        <f>'1257'!Y10</f>
        <v>0.15412238544500262</v>
      </c>
      <c r="AA50" s="2">
        <f>'1257'!Z10</f>
        <v>0.27605824056995343</v>
      </c>
      <c r="AB50" s="2">
        <f>'1257'!AA10</f>
        <v>0.46245742704870457</v>
      </c>
      <c r="AC50" s="2">
        <f>'1257'!AB10</f>
        <v>0.18185702239298393</v>
      </c>
      <c r="AD50" s="2">
        <f>'1257'!AC10</f>
        <v>0.33040060668421212</v>
      </c>
      <c r="AE50" s="2">
        <f>'1257'!AD10</f>
        <v>0.4962478828020328</v>
      </c>
      <c r="AF50" s="3">
        <f>'1257'!AE10</f>
        <v>0.71736722281492726</v>
      </c>
    </row>
    <row r="51" spans="1:32" x14ac:dyDescent="0.25">
      <c r="A51" s="33"/>
      <c r="B51" s="2">
        <v>9</v>
      </c>
      <c r="C51" s="1">
        <f>'1257'!B11</f>
        <v>1.6499280751746677</v>
      </c>
      <c r="D51" s="2">
        <f>'1257'!C11</f>
        <v>0.91984424813547472</v>
      </c>
      <c r="E51" s="2">
        <f>'1257'!D11</f>
        <v>1.0841392335902171</v>
      </c>
      <c r="F51" s="2">
        <f>'1257'!E11</f>
        <v>0.69491674373133849</v>
      </c>
      <c r="G51" s="2">
        <f>'1257'!F11</f>
        <v>1.3081861720147414</v>
      </c>
      <c r="H51" s="2">
        <f>'1257'!G11</f>
        <v>0.88465183454184393</v>
      </c>
      <c r="I51" s="2">
        <f>'1257'!H11</f>
        <v>0.97019000288495894</v>
      </c>
      <c r="J51" s="2">
        <f>'1257'!I11</f>
        <v>1.0811073027225373</v>
      </c>
      <c r="K51" s="2">
        <f>'1257'!J11</f>
        <v>1.179034990337543</v>
      </c>
      <c r="L51" s="2">
        <f>'1257'!K11</f>
        <v>1.04164667169155</v>
      </c>
      <c r="M51" s="2">
        <f>'1257'!L11</f>
        <v>0.88965363303544531</v>
      </c>
      <c r="N51" s="2">
        <f>'1257'!M11</f>
        <v>0.85300906476543381</v>
      </c>
      <c r="O51" s="2">
        <f>'1257'!N11</f>
        <v>0.89843604904499641</v>
      </c>
      <c r="P51" s="2">
        <f>'1257'!O11</f>
        <v>0.79134065261875908</v>
      </c>
      <c r="Q51" s="2">
        <f>'1257'!P11</f>
        <v>0.87435601386506179</v>
      </c>
      <c r="R51" s="1">
        <f>'1257'!Q11</f>
        <v>0.24927607573538801</v>
      </c>
      <c r="S51" s="2">
        <f>'1257'!R11</f>
        <v>0.76807871559144281</v>
      </c>
      <c r="T51" s="2">
        <f>'1257'!S11</f>
        <v>0.78535755301901466</v>
      </c>
      <c r="U51" s="2">
        <f>'1257'!T11</f>
        <v>0.88132546246363774</v>
      </c>
      <c r="V51" s="2">
        <f>'1257'!U11</f>
        <v>0.86836416631082924</v>
      </c>
      <c r="W51" s="2">
        <f>'1257'!V11</f>
        <v>0.88659407992515427</v>
      </c>
      <c r="X51" s="2">
        <f>'1257'!W11</f>
        <v>0.73813483180782491</v>
      </c>
      <c r="Y51" s="2">
        <f>'1257'!X11</f>
        <v>0.75315712290940351</v>
      </c>
      <c r="Z51" s="2">
        <f>'1257'!Y11</f>
        <v>0.79931499419408214</v>
      </c>
      <c r="AA51" s="2">
        <f>'1257'!Z11</f>
        <v>0.84115049287098642</v>
      </c>
      <c r="AB51" s="2">
        <f>'1257'!AA11</f>
        <v>0.83155915559675686</v>
      </c>
      <c r="AC51" s="2">
        <f>'1257'!AB11</f>
        <v>0.87991922683607671</v>
      </c>
      <c r="AD51" s="2">
        <f>'1257'!AC11</f>
        <v>0.84621006914738484</v>
      </c>
      <c r="AE51" s="2">
        <f>'1257'!AD11</f>
        <v>0.89010545904773131</v>
      </c>
      <c r="AF51" s="3">
        <f>'1257'!AE11</f>
        <v>0.82723076025641096</v>
      </c>
    </row>
    <row r="52" spans="1:32" x14ac:dyDescent="0.25">
      <c r="A52" s="34"/>
      <c r="B52" s="8">
        <v>10</v>
      </c>
      <c r="C52" s="7">
        <f>'1257'!B12</f>
        <v>1.0755609697514827</v>
      </c>
      <c r="D52" s="8">
        <f>'1257'!C12</f>
        <v>1.1285604857893454</v>
      </c>
      <c r="E52" s="8">
        <f>'1257'!D12</f>
        <v>0.97001095645912683</v>
      </c>
      <c r="F52" s="8">
        <f>'1257'!E12</f>
        <v>1.1534597360010377</v>
      </c>
      <c r="G52" s="8">
        <f>'1257'!F12</f>
        <v>1.3026135794216755</v>
      </c>
      <c r="H52" s="8">
        <f>'1257'!G12</f>
        <v>1.2247154761146908</v>
      </c>
      <c r="I52" s="8">
        <f>'1257'!H12</f>
        <v>0.91054979010453729</v>
      </c>
      <c r="J52" s="8">
        <f>'1257'!I12</f>
        <v>1.2140543645158564</v>
      </c>
      <c r="K52" s="8">
        <f>'1257'!J12</f>
        <v>1.138516602045069</v>
      </c>
      <c r="L52" s="8">
        <f>'1257'!K12</f>
        <v>1.1556888903047899</v>
      </c>
      <c r="M52" s="8">
        <f>'1257'!L12</f>
        <v>1.1750766490093671</v>
      </c>
      <c r="N52" s="8">
        <f>'1257'!M12</f>
        <v>1.26684668668266</v>
      </c>
      <c r="O52" s="8">
        <f>'1257'!N12</f>
        <v>1.2542594473985438</v>
      </c>
      <c r="P52" s="8">
        <f>'1257'!O12</f>
        <v>1.0418161083864561</v>
      </c>
      <c r="Q52" s="8">
        <f>'1257'!P12</f>
        <v>0.96803852660272083</v>
      </c>
      <c r="R52" s="7">
        <f>'1257'!Q12</f>
        <v>0.70756322987934983</v>
      </c>
      <c r="S52" s="8">
        <f>'1257'!R12</f>
        <v>0.60652284787342714</v>
      </c>
      <c r="T52" s="8">
        <f>'1257'!S12</f>
        <v>0.73771150862904489</v>
      </c>
      <c r="U52" s="8">
        <f>'1257'!T12</f>
        <v>0.57836795799068019</v>
      </c>
      <c r="V52" s="8">
        <f>'1257'!U12</f>
        <v>0.53252237031514194</v>
      </c>
      <c r="W52" s="8">
        <f>'1257'!V12</f>
        <v>0.47728458906880911</v>
      </c>
      <c r="X52" s="8">
        <f>'1257'!W12</f>
        <v>0.72241708469107013</v>
      </c>
      <c r="Y52" s="8">
        <f>'1257'!X12</f>
        <v>0.5705827685433279</v>
      </c>
      <c r="Z52" s="8">
        <f>'1257'!Y12</f>
        <v>0.57527976831782734</v>
      </c>
      <c r="AA52" s="8">
        <f>'1257'!Z12</f>
        <v>0.61808768243938272</v>
      </c>
      <c r="AB52" s="8">
        <f>'1257'!AA12</f>
        <v>0.54792565354951561</v>
      </c>
      <c r="AC52" s="8">
        <f>'1257'!AB12</f>
        <v>0.41027067068020151</v>
      </c>
      <c r="AD52" s="8">
        <f>'1257'!AC12</f>
        <v>0.42280772532757505</v>
      </c>
      <c r="AE52" s="8">
        <f>'1257'!AD12</f>
        <v>0.67609300984414256</v>
      </c>
      <c r="AF52" s="9">
        <f>'1257'!AE12</f>
        <v>0.73872167277504619</v>
      </c>
    </row>
    <row r="55" spans="1:32" x14ac:dyDescent="0.25">
      <c r="B55" t="s">
        <v>20</v>
      </c>
      <c r="C55" s="16">
        <f>AVERAGE(C3:C52)</f>
        <v>1.1154466013970492</v>
      </c>
      <c r="D55" s="17">
        <f t="shared" ref="D55:AF55" si="0">AVERAGE(D3:D52)</f>
        <v>0.91654837613277895</v>
      </c>
      <c r="E55" s="17">
        <f t="shared" si="0"/>
        <v>0.95994994532105982</v>
      </c>
      <c r="F55" s="17">
        <f t="shared" si="0"/>
        <v>0.9497895783822824</v>
      </c>
      <c r="G55" s="17">
        <f t="shared" si="0"/>
        <v>1.0320915457628679</v>
      </c>
      <c r="H55" s="17">
        <f t="shared" si="0"/>
        <v>0.93877527054169074</v>
      </c>
      <c r="I55" s="17">
        <f t="shared" si="0"/>
        <v>1.0906843232334564</v>
      </c>
      <c r="J55" s="17">
        <f t="shared" si="0"/>
        <v>0.98001048308092886</v>
      </c>
      <c r="K55" s="17">
        <f t="shared" si="0"/>
        <v>1.0611739732590968</v>
      </c>
      <c r="L55" s="17">
        <f t="shared" si="0"/>
        <v>1.03076746568213</v>
      </c>
      <c r="M55" s="17">
        <f t="shared" si="0"/>
        <v>0.90233560541501801</v>
      </c>
      <c r="N55" s="17">
        <f t="shared" si="0"/>
        <v>0.91067246272881941</v>
      </c>
      <c r="O55" s="17">
        <f t="shared" si="0"/>
        <v>0.88321772581006319</v>
      </c>
      <c r="P55" s="17">
        <f t="shared" si="0"/>
        <v>0.84355062789945601</v>
      </c>
      <c r="Q55" s="18">
        <f t="shared" si="0"/>
        <v>0.8505727821760114</v>
      </c>
      <c r="R55" s="16">
        <f t="shared" si="0"/>
        <v>0.45867896108691192</v>
      </c>
      <c r="S55" s="17">
        <f t="shared" si="0"/>
        <v>0.57447786805182766</v>
      </c>
      <c r="T55" s="17">
        <f t="shared" si="0"/>
        <v>0.52916544055029524</v>
      </c>
      <c r="U55" s="17">
        <f t="shared" si="0"/>
        <v>0.55374242002769947</v>
      </c>
      <c r="V55" s="17">
        <f t="shared" si="0"/>
        <v>0.56123825899432533</v>
      </c>
      <c r="W55" s="17">
        <f t="shared" si="0"/>
        <v>0.56110450894938313</v>
      </c>
      <c r="X55" s="17">
        <f t="shared" si="0"/>
        <v>0.45168473893215355</v>
      </c>
      <c r="Y55" s="17">
        <f t="shared" si="0"/>
        <v>0.51236984321569612</v>
      </c>
      <c r="Z55" s="17">
        <f t="shared" si="0"/>
        <v>0.44262543959609951</v>
      </c>
      <c r="AA55" s="17">
        <f t="shared" si="0"/>
        <v>0.47040189047633596</v>
      </c>
      <c r="AB55" s="17">
        <f t="shared" si="0"/>
        <v>0.57961808881399046</v>
      </c>
      <c r="AC55" s="17">
        <f t="shared" si="0"/>
        <v>0.55973810944799585</v>
      </c>
      <c r="AD55" s="17">
        <f t="shared" si="0"/>
        <v>0.58220101049437245</v>
      </c>
      <c r="AE55" s="17">
        <f t="shared" si="0"/>
        <v>0.62614007457354115</v>
      </c>
      <c r="AF55" s="18">
        <f t="shared" si="0"/>
        <v>0.61829504901199972</v>
      </c>
    </row>
    <row r="56" spans="1:32" x14ac:dyDescent="0.25">
      <c r="B56" t="s">
        <v>21</v>
      </c>
      <c r="C56" s="19">
        <f>MEDIAN(C3:C52)</f>
        <v>1.0166615632772671</v>
      </c>
      <c r="D56" s="20">
        <f t="shared" ref="D56:AF56" si="1">MEDIAN(D3:D52)</f>
        <v>0.8954722951313776</v>
      </c>
      <c r="E56" s="20">
        <f t="shared" si="1"/>
        <v>0.96470571576809216</v>
      </c>
      <c r="F56" s="20">
        <f t="shared" si="1"/>
        <v>0.90858509320712499</v>
      </c>
      <c r="G56" s="20">
        <f t="shared" si="1"/>
        <v>1.0224220903365924</v>
      </c>
      <c r="H56" s="20">
        <f t="shared" si="1"/>
        <v>0.9246217999911176</v>
      </c>
      <c r="I56" s="20">
        <f t="shared" si="1"/>
        <v>1.0494774991007518</v>
      </c>
      <c r="J56" s="20">
        <f t="shared" si="1"/>
        <v>0.96652189419304446</v>
      </c>
      <c r="K56" s="20">
        <f t="shared" si="1"/>
        <v>1.0371225883059378</v>
      </c>
      <c r="L56" s="20">
        <f t="shared" si="1"/>
        <v>1.020930577361207</v>
      </c>
      <c r="M56" s="20">
        <f t="shared" si="1"/>
        <v>0.8969999936941051</v>
      </c>
      <c r="N56" s="20">
        <f t="shared" si="1"/>
        <v>0.87581583614363168</v>
      </c>
      <c r="O56" s="20">
        <f t="shared" si="1"/>
        <v>0.88605434412175543</v>
      </c>
      <c r="P56" s="20">
        <f t="shared" si="1"/>
        <v>0.80979099986474368</v>
      </c>
      <c r="Q56" s="21">
        <f t="shared" si="1"/>
        <v>0.85850927307815539</v>
      </c>
      <c r="R56" s="19">
        <f t="shared" si="1"/>
        <v>0.48955948501686453</v>
      </c>
      <c r="S56" s="20">
        <f t="shared" si="1"/>
        <v>0.60552487769538144</v>
      </c>
      <c r="T56" s="20">
        <f t="shared" si="1"/>
        <v>0.56837101073766472</v>
      </c>
      <c r="U56" s="20">
        <f t="shared" si="1"/>
        <v>0.5818942066474051</v>
      </c>
      <c r="V56" s="20">
        <f t="shared" si="1"/>
        <v>0.59526162446437936</v>
      </c>
      <c r="W56" s="20">
        <f t="shared" si="1"/>
        <v>0.62126413944942427</v>
      </c>
      <c r="X56" s="20">
        <f t="shared" si="1"/>
        <v>0.45942980103270048</v>
      </c>
      <c r="Y56" s="20">
        <f t="shared" si="1"/>
        <v>0.56005796188851853</v>
      </c>
      <c r="Z56" s="20">
        <f t="shared" si="1"/>
        <v>0.50455687552579676</v>
      </c>
      <c r="AA56" s="20">
        <f t="shared" si="1"/>
        <v>0.51022584299077822</v>
      </c>
      <c r="AB56" s="20">
        <f t="shared" si="1"/>
        <v>0.59059890518110114</v>
      </c>
      <c r="AC56" s="20">
        <f t="shared" si="1"/>
        <v>0.55910671524780065</v>
      </c>
      <c r="AD56" s="20">
        <f t="shared" si="1"/>
        <v>0.60521584607885104</v>
      </c>
      <c r="AE56" s="20">
        <f t="shared" si="1"/>
        <v>0.64654936353571146</v>
      </c>
      <c r="AF56" s="21">
        <f t="shared" si="1"/>
        <v>0.65446010227069074</v>
      </c>
    </row>
    <row r="57" spans="1:32" x14ac:dyDescent="0.25">
      <c r="B57" t="s">
        <v>22</v>
      </c>
      <c r="C57" s="19">
        <f>LARGE(C3:C53,1)</f>
        <v>2.4875312691941462</v>
      </c>
      <c r="D57" s="20">
        <f t="shared" ref="D57:AF57" si="2">LARGE(D3:D53,1)</f>
        <v>1.4820456754265932</v>
      </c>
      <c r="E57" s="20">
        <f t="shared" si="2"/>
        <v>1.7829693263388606</v>
      </c>
      <c r="F57" s="20">
        <f t="shared" si="2"/>
        <v>1.653404490665549</v>
      </c>
      <c r="G57" s="20">
        <f t="shared" si="2"/>
        <v>1.7468594439137533</v>
      </c>
      <c r="H57" s="20">
        <f t="shared" si="2"/>
        <v>1.3790299025050183</v>
      </c>
      <c r="I57" s="20">
        <f t="shared" si="2"/>
        <v>1.8316501227507263</v>
      </c>
      <c r="J57" s="20">
        <f t="shared" si="2"/>
        <v>1.4069593692309195</v>
      </c>
      <c r="K57" s="20">
        <f t="shared" si="2"/>
        <v>1.608680099500545</v>
      </c>
      <c r="L57" s="20">
        <f t="shared" si="2"/>
        <v>1.4662610240530163</v>
      </c>
      <c r="M57" s="20">
        <f t="shared" si="2"/>
        <v>1.3295398481462799</v>
      </c>
      <c r="N57" s="20">
        <f t="shared" si="2"/>
        <v>1.2831802948586362</v>
      </c>
      <c r="O57" s="20">
        <f t="shared" si="2"/>
        <v>1.2542594473985438</v>
      </c>
      <c r="P57" s="20">
        <f t="shared" si="2"/>
        <v>1.2382557408084784</v>
      </c>
      <c r="Q57" s="21">
        <f t="shared" si="2"/>
        <v>1.2579831098780732</v>
      </c>
      <c r="R57" s="19">
        <f t="shared" si="2"/>
        <v>0.83256752207824225</v>
      </c>
      <c r="S57" s="20">
        <f t="shared" si="2"/>
        <v>0.87263205069824701</v>
      </c>
      <c r="T57" s="20">
        <f t="shared" si="2"/>
        <v>0.8657010788236098</v>
      </c>
      <c r="U57" s="20">
        <f t="shared" si="2"/>
        <v>0.88132546246363774</v>
      </c>
      <c r="V57" s="20">
        <f t="shared" si="2"/>
        <v>0.906241277484094</v>
      </c>
      <c r="W57" s="20">
        <f t="shared" si="2"/>
        <v>0.91049825968496656</v>
      </c>
      <c r="X57" s="20">
        <f t="shared" si="2"/>
        <v>0.82598840591568756</v>
      </c>
      <c r="Y57" s="20">
        <f t="shared" si="2"/>
        <v>0.83286860654358785</v>
      </c>
      <c r="Z57" s="20">
        <f t="shared" si="2"/>
        <v>0.79931499419408214</v>
      </c>
      <c r="AA57" s="20">
        <f t="shared" si="2"/>
        <v>0.84115049287098642</v>
      </c>
      <c r="AB57" s="20">
        <f t="shared" si="2"/>
        <v>0.90224702293735115</v>
      </c>
      <c r="AC57" s="20">
        <f t="shared" si="2"/>
        <v>0.90237865319165822</v>
      </c>
      <c r="AD57" s="20">
        <f t="shared" si="2"/>
        <v>0.92050245153018784</v>
      </c>
      <c r="AE57" s="20">
        <f t="shared" si="2"/>
        <v>0.91036813050861753</v>
      </c>
      <c r="AF57" s="21">
        <f t="shared" si="2"/>
        <v>0.90788571505474214</v>
      </c>
    </row>
    <row r="58" spans="1:32" x14ac:dyDescent="0.25">
      <c r="B58" t="s">
        <v>23</v>
      </c>
      <c r="C58" s="22">
        <f>SMALL(C3:C53,1)</f>
        <v>0.57481938532558496</v>
      </c>
      <c r="D58" s="23">
        <f t="shared" ref="D58:AF58" si="3">SMALL(D3:D53,1)</f>
        <v>0.53281366500414939</v>
      </c>
      <c r="E58" s="23">
        <f t="shared" si="3"/>
        <v>0.39123929672388486</v>
      </c>
      <c r="F58" s="23">
        <f t="shared" si="3"/>
        <v>0.50145890494344281</v>
      </c>
      <c r="G58" s="23">
        <f t="shared" si="3"/>
        <v>0.40392584371267953</v>
      </c>
      <c r="H58" s="23">
        <f t="shared" si="3"/>
        <v>0.54517832069876282</v>
      </c>
      <c r="I58" s="23">
        <f t="shared" si="3"/>
        <v>0.57413575354810475</v>
      </c>
      <c r="J58" s="23">
        <f t="shared" si="3"/>
        <v>0.60907799172191412</v>
      </c>
      <c r="K58" s="23">
        <f t="shared" si="3"/>
        <v>0.54063135390323969</v>
      </c>
      <c r="L58" s="23">
        <f t="shared" si="3"/>
        <v>0.49821366574793985</v>
      </c>
      <c r="M58" s="23">
        <f t="shared" si="3"/>
        <v>0.4524835350019194</v>
      </c>
      <c r="N58" s="23">
        <f t="shared" si="3"/>
        <v>0.52697983764363954</v>
      </c>
      <c r="O58" s="23">
        <f t="shared" si="3"/>
        <v>0.38285481400188331</v>
      </c>
      <c r="P58" s="23">
        <f t="shared" si="3"/>
        <v>0.5056201136678603</v>
      </c>
      <c r="Q58" s="24">
        <f t="shared" si="3"/>
        <v>0.45872237389045267</v>
      </c>
      <c r="R58" s="22">
        <f t="shared" si="3"/>
        <v>2.1086323093104003E-3</v>
      </c>
      <c r="S58" s="23">
        <f t="shared" si="3"/>
        <v>0.16009460967273093</v>
      </c>
      <c r="T58" s="23">
        <f t="shared" si="3"/>
        <v>9.4449927335213776E-2</v>
      </c>
      <c r="U58" s="23">
        <f t="shared" si="3"/>
        <v>7.3329023853324404E-2</v>
      </c>
      <c r="V58" s="23">
        <f t="shared" si="3"/>
        <v>0.18089078952414528</v>
      </c>
      <c r="W58" s="23">
        <f t="shared" si="3"/>
        <v>5.9229902834462937E-2</v>
      </c>
      <c r="X58" s="23">
        <f t="shared" si="3"/>
        <v>3.1989323931334E-4</v>
      </c>
      <c r="Y58" s="23">
        <f t="shared" si="3"/>
        <v>6.6404093282614651E-2</v>
      </c>
      <c r="Z58" s="23">
        <f t="shared" si="3"/>
        <v>2.206244495776039E-4</v>
      </c>
      <c r="AA58" s="23">
        <f t="shared" si="3"/>
        <v>3.4370419703846675E-2</v>
      </c>
      <c r="AB58" s="23">
        <f t="shared" si="3"/>
        <v>4.838801135659164E-2</v>
      </c>
      <c r="AC58" s="23">
        <f t="shared" si="3"/>
        <v>7.3962141209760662E-2</v>
      </c>
      <c r="AD58" s="23">
        <f t="shared" si="3"/>
        <v>6.7480488422412457E-2</v>
      </c>
      <c r="AE58" s="23">
        <f t="shared" si="3"/>
        <v>0.16680300317096855</v>
      </c>
      <c r="AF58" s="24">
        <f t="shared" si="3"/>
        <v>0.1204819346347952</v>
      </c>
    </row>
    <row r="59" spans="1:32" x14ac:dyDescent="0.25">
      <c r="B59" s="15" t="s">
        <v>24</v>
      </c>
      <c r="C59" s="25">
        <f>_xlfn.STDEV.P(C3:C53)</f>
        <v>0.39669781809642557</v>
      </c>
      <c r="D59" s="25">
        <f>_xlfn.STDEV.P(D3:D53)</f>
        <v>0.20888789466520416</v>
      </c>
      <c r="E59" s="25">
        <f t="shared" ref="E59:AF59" si="4">_xlfn.STDEV.P(E3:E53)</f>
        <v>0.24917732699675685</v>
      </c>
      <c r="F59" s="25">
        <f t="shared" si="4"/>
        <v>0.23173929111053931</v>
      </c>
      <c r="G59" s="25">
        <f t="shared" si="4"/>
        <v>0.23776227628302735</v>
      </c>
      <c r="H59" s="25">
        <f t="shared" si="4"/>
        <v>0.19609092794407543</v>
      </c>
      <c r="I59" s="25">
        <f t="shared" si="4"/>
        <v>0.26801461579928354</v>
      </c>
      <c r="J59" s="25">
        <f t="shared" si="4"/>
        <v>0.204384642581633</v>
      </c>
      <c r="K59" s="25">
        <f t="shared" si="4"/>
        <v>0.22515930602009893</v>
      </c>
      <c r="L59" s="25">
        <f t="shared" si="4"/>
        <v>0.19601099752061785</v>
      </c>
      <c r="M59" s="25">
        <f t="shared" si="4"/>
        <v>0.21886725070005775</v>
      </c>
      <c r="N59" s="25">
        <f t="shared" si="4"/>
        <v>0.20019875973633064</v>
      </c>
      <c r="O59" s="25">
        <f t="shared" si="4"/>
        <v>0.20009151013114698</v>
      </c>
      <c r="P59" s="25">
        <f t="shared" si="4"/>
        <v>0.17890996152491123</v>
      </c>
      <c r="Q59" s="18">
        <f t="shared" si="4"/>
        <v>0.19165543878300212</v>
      </c>
      <c r="R59" s="25">
        <f t="shared" si="4"/>
        <v>0.22990589198548683</v>
      </c>
      <c r="S59" s="25">
        <f t="shared" si="4"/>
        <v>0.1827796602993613</v>
      </c>
      <c r="T59" s="25">
        <f t="shared" si="4"/>
        <v>0.21307790423904105</v>
      </c>
      <c r="U59" s="25">
        <f t="shared" si="4"/>
        <v>0.19150099345566707</v>
      </c>
      <c r="V59" s="25">
        <f t="shared" si="4"/>
        <v>0.19098971472290735</v>
      </c>
      <c r="W59" s="25">
        <f t="shared" si="4"/>
        <v>0.20744312678184276</v>
      </c>
      <c r="X59" s="25">
        <f t="shared" si="4"/>
        <v>0.24056624711231245</v>
      </c>
      <c r="Y59" s="25">
        <f t="shared" si="4"/>
        <v>0.18833197546751457</v>
      </c>
      <c r="Z59" s="25">
        <f t="shared" si="4"/>
        <v>0.22220876261047792</v>
      </c>
      <c r="AA59" s="25">
        <f t="shared" si="4"/>
        <v>0.2178587883915048</v>
      </c>
      <c r="AB59" s="25">
        <f t="shared" si="4"/>
        <v>0.18543639675773468</v>
      </c>
      <c r="AC59" s="25">
        <f t="shared" si="4"/>
        <v>0.19243787435627227</v>
      </c>
      <c r="AD59" s="25">
        <f t="shared" si="4"/>
        <v>0.17818341450295175</v>
      </c>
      <c r="AE59" s="25">
        <f t="shared" si="4"/>
        <v>0.17442931310517876</v>
      </c>
      <c r="AF59" s="25">
        <f t="shared" si="4"/>
        <v>0.20010245692948925</v>
      </c>
    </row>
    <row r="60" spans="1:32" x14ac:dyDescent="0.25">
      <c r="B60" s="15" t="s">
        <v>25</v>
      </c>
      <c r="C60" s="25">
        <f>_xlfn.STDEV.S(C3:C53)</f>
        <v>0.4007253103684143</v>
      </c>
      <c r="D60" s="25">
        <f t="shared" ref="D60:AF60" si="5">_xlfn.STDEV.S(D3:D53)</f>
        <v>0.21100863832221031</v>
      </c>
      <c r="E60" s="25">
        <f t="shared" si="5"/>
        <v>0.2517071109104923</v>
      </c>
      <c r="F60" s="25">
        <f t="shared" si="5"/>
        <v>0.23409203458803707</v>
      </c>
      <c r="G60" s="25">
        <f t="shared" si="5"/>
        <v>0.24017616838582592</v>
      </c>
      <c r="H60" s="25">
        <f t="shared" si="5"/>
        <v>0.19808174982631185</v>
      </c>
      <c r="I60" s="25">
        <f t="shared" si="5"/>
        <v>0.27073564612682921</v>
      </c>
      <c r="J60" s="25">
        <f t="shared" si="5"/>
        <v>0.20645966677123073</v>
      </c>
      <c r="K60" s="25">
        <f t="shared" si="5"/>
        <v>0.22744524590581286</v>
      </c>
      <c r="L60" s="25">
        <f t="shared" si="5"/>
        <v>0.19800100790566957</v>
      </c>
      <c r="M60" s="25">
        <f t="shared" si="5"/>
        <v>0.22108931021380981</v>
      </c>
      <c r="N60" s="25">
        <f t="shared" si="5"/>
        <v>0.202231286563851</v>
      </c>
      <c r="O60" s="25">
        <f t="shared" si="5"/>
        <v>0.2021229481022723</v>
      </c>
      <c r="P60" s="25">
        <f t="shared" si="5"/>
        <v>0.18072635288012709</v>
      </c>
      <c r="Q60" s="21">
        <f t="shared" si="5"/>
        <v>0.19360122916392</v>
      </c>
      <c r="R60" s="25">
        <f t="shared" si="5"/>
        <v>0.23224002179668524</v>
      </c>
      <c r="S60" s="25">
        <f t="shared" si="5"/>
        <v>0.18463533894378847</v>
      </c>
      <c r="T60" s="25">
        <f t="shared" si="5"/>
        <v>0.21524118715491955</v>
      </c>
      <c r="U60" s="25">
        <f t="shared" si="5"/>
        <v>0.19344521582351831</v>
      </c>
      <c r="V60" s="25">
        <f t="shared" si="5"/>
        <v>0.19292874631064569</v>
      </c>
      <c r="W60" s="25">
        <f t="shared" si="5"/>
        <v>0.20954920236854524</v>
      </c>
      <c r="X60" s="25">
        <f t="shared" si="5"/>
        <v>0.24300860665387836</v>
      </c>
      <c r="Y60" s="25">
        <f t="shared" si="5"/>
        <v>0.1902440242390544</v>
      </c>
      <c r="Z60" s="25">
        <f t="shared" si="5"/>
        <v>0.22446474697277238</v>
      </c>
      <c r="AA60" s="25">
        <f t="shared" si="5"/>
        <v>0.22007060944674017</v>
      </c>
      <c r="AB60" s="25">
        <f t="shared" si="5"/>
        <v>0.18731904803741897</v>
      </c>
      <c r="AC60" s="25">
        <f t="shared" si="5"/>
        <v>0.19439160844920714</v>
      </c>
      <c r="AD60" s="25">
        <f t="shared" si="5"/>
        <v>0.17999242955715813</v>
      </c>
      <c r="AE60" s="25">
        <f t="shared" si="5"/>
        <v>0.17620021447769069</v>
      </c>
      <c r="AF60" s="25">
        <f t="shared" si="5"/>
        <v>0.20213400603847273</v>
      </c>
    </row>
    <row r="61" spans="1:32" x14ac:dyDescent="0.25">
      <c r="Q61" s="3"/>
    </row>
    <row r="62" spans="1:32" x14ac:dyDescent="0.25">
      <c r="A62">
        <f>A3</f>
        <v>102</v>
      </c>
      <c r="B62" s="15" t="s">
        <v>26</v>
      </c>
      <c r="C62">
        <f>AVERAGE(C$3:C$12)</f>
        <v>0.90865821809551195</v>
      </c>
      <c r="D62">
        <f>AVERAGE(D$3:D$12)</f>
        <v>0.83093259147446297</v>
      </c>
      <c r="E62">
        <f>AVERAGE(E$3:E$12)</f>
        <v>0.75197885576548529</v>
      </c>
      <c r="F62">
        <f>AVERAGE(F$3:F$12)</f>
        <v>0.80204890661126771</v>
      </c>
      <c r="G62">
        <f>AVERAGE(G$3:G$12)</f>
        <v>0.85078700685845321</v>
      </c>
      <c r="H62">
        <f t="shared" ref="H62:AF62" si="6">AVERAGE(H$3:H$12)</f>
        <v>0.83414231814102868</v>
      </c>
      <c r="I62">
        <f t="shared" si="6"/>
        <v>0.99739233016071815</v>
      </c>
      <c r="J62">
        <f t="shared" si="6"/>
        <v>0.87045106157227914</v>
      </c>
      <c r="K62">
        <f t="shared" si="6"/>
        <v>0.88937156579754872</v>
      </c>
      <c r="L62">
        <f t="shared" si="6"/>
        <v>0.90431301513738183</v>
      </c>
      <c r="M62">
        <f t="shared" si="6"/>
        <v>0.78131995469003646</v>
      </c>
      <c r="N62">
        <f t="shared" si="6"/>
        <v>0.78943690475793682</v>
      </c>
      <c r="O62">
        <f t="shared" si="6"/>
        <v>0.79332101760715212</v>
      </c>
      <c r="P62">
        <f t="shared" si="6"/>
        <v>0.70247600287050738</v>
      </c>
      <c r="Q62" s="3">
        <f t="shared" si="6"/>
        <v>0.73826843553284827</v>
      </c>
      <c r="R62">
        <f t="shared" si="6"/>
        <v>0.56212369080996349</v>
      </c>
      <c r="S62">
        <f t="shared" si="6"/>
        <v>0.61384917845399145</v>
      </c>
      <c r="T62">
        <f t="shared" si="6"/>
        <v>0.67496558717596844</v>
      </c>
      <c r="U62">
        <f t="shared" si="6"/>
        <v>0.61488832531826554</v>
      </c>
      <c r="V62">
        <f t="shared" si="6"/>
        <v>0.62819907455821755</v>
      </c>
      <c r="W62">
        <f t="shared" si="6"/>
        <v>0.61608953379974385</v>
      </c>
      <c r="X62">
        <f t="shared" si="6"/>
        <v>0.48371570302551825</v>
      </c>
      <c r="Y62">
        <f t="shared" si="6"/>
        <v>0.53290059650191535</v>
      </c>
      <c r="Z62">
        <f t="shared" si="6"/>
        <v>0.47582503257462044</v>
      </c>
      <c r="AA62">
        <f t="shared" si="6"/>
        <v>0.5037892206903628</v>
      </c>
      <c r="AB62">
        <f t="shared" si="6"/>
        <v>0.6231855681891173</v>
      </c>
      <c r="AC62">
        <f t="shared" si="6"/>
        <v>0.59388686316464212</v>
      </c>
      <c r="AD62">
        <f t="shared" si="6"/>
        <v>0.58825433859191989</v>
      </c>
      <c r="AE62">
        <f t="shared" si="6"/>
        <v>0.68048189822997396</v>
      </c>
      <c r="AF62">
        <f t="shared" si="6"/>
        <v>0.64409856059027804</v>
      </c>
    </row>
    <row r="63" spans="1:32" x14ac:dyDescent="0.25">
      <c r="B63" s="15" t="s">
        <v>27</v>
      </c>
      <c r="C63">
        <f>_xlfn.STDEV.P(C$3:C$12)</f>
        <v>0.22317351800040502</v>
      </c>
      <c r="D63">
        <f>_xlfn.STDEV.P(D$3:D$12)</f>
        <v>0.23587356033794321</v>
      </c>
      <c r="E63">
        <f>_xlfn.STDEV.P(E$3:E$12)</f>
        <v>0.17051242428288052</v>
      </c>
      <c r="F63">
        <f>_xlfn.STDEV.P(F$3:F$12)</f>
        <v>0.21885590157912468</v>
      </c>
      <c r="G63">
        <f>_xlfn.STDEV.P(G$3:G$12)</f>
        <v>0.20577075258241831</v>
      </c>
      <c r="H63">
        <f t="shared" ref="H63:AF63" si="7">_xlfn.STDEV.P(H$3:H$12)</f>
        <v>0.21331240506817226</v>
      </c>
      <c r="I63">
        <f t="shared" si="7"/>
        <v>0.24555254964421419</v>
      </c>
      <c r="J63">
        <f t="shared" si="7"/>
        <v>0.18069635155752156</v>
      </c>
      <c r="K63">
        <f t="shared" si="7"/>
        <v>0.18039778503840725</v>
      </c>
      <c r="L63">
        <f t="shared" si="7"/>
        <v>0.21580378715847282</v>
      </c>
      <c r="M63">
        <f t="shared" si="7"/>
        <v>0.23981818632593982</v>
      </c>
      <c r="N63">
        <f t="shared" si="7"/>
        <v>0.19764408210390388</v>
      </c>
      <c r="O63">
        <f t="shared" si="7"/>
        <v>0.20202417253745891</v>
      </c>
      <c r="P63">
        <f t="shared" si="7"/>
        <v>0.15114414586434394</v>
      </c>
      <c r="Q63" s="3">
        <f t="shared" si="7"/>
        <v>0.21787152471496637</v>
      </c>
      <c r="R63">
        <f t="shared" si="7"/>
        <v>0.1817625978996438</v>
      </c>
      <c r="S63">
        <f t="shared" si="7"/>
        <v>0.21385756241826839</v>
      </c>
      <c r="T63">
        <f t="shared" si="7"/>
        <v>8.67637425414471E-2</v>
      </c>
      <c r="U63">
        <f t="shared" si="7"/>
        <v>0.21564531632389028</v>
      </c>
      <c r="V63">
        <f t="shared" si="7"/>
        <v>0.15643490426537182</v>
      </c>
      <c r="W63">
        <f t="shared" si="7"/>
        <v>0.21467585918322227</v>
      </c>
      <c r="X63">
        <f t="shared" si="7"/>
        <v>0.23349640613254111</v>
      </c>
      <c r="Y63">
        <f t="shared" si="7"/>
        <v>0.18855647503214704</v>
      </c>
      <c r="Z63">
        <f t="shared" si="7"/>
        <v>0.19803834525533512</v>
      </c>
      <c r="AA63">
        <f t="shared" si="7"/>
        <v>0.23054112628613158</v>
      </c>
      <c r="AB63">
        <f t="shared" si="7"/>
        <v>0.23200080488924213</v>
      </c>
      <c r="AC63">
        <f t="shared" si="7"/>
        <v>0.21627042738439373</v>
      </c>
      <c r="AD63">
        <f t="shared" si="7"/>
        <v>0.20885077634253246</v>
      </c>
      <c r="AE63">
        <f t="shared" si="7"/>
        <v>0.14308414916042037</v>
      </c>
      <c r="AF63">
        <f t="shared" si="7"/>
        <v>0.21943246247065748</v>
      </c>
    </row>
    <row r="64" spans="1:32" x14ac:dyDescent="0.25">
      <c r="B64" s="15" t="s">
        <v>28</v>
      </c>
      <c r="C64">
        <f>_xlfn.STDEV.S(C$3:C$12)</f>
        <v>0.23524554343795542</v>
      </c>
      <c r="D64">
        <f>_xlfn.STDEV.S(D$3:D$12)</f>
        <v>0.24863256349368548</v>
      </c>
      <c r="E64">
        <f>_xlfn.STDEV.S(E$3:E$12)</f>
        <v>0.17973587669696836</v>
      </c>
      <c r="F64">
        <f>_xlfn.STDEV.S(F$3:F$12)</f>
        <v>0.23069437611989171</v>
      </c>
      <c r="G64">
        <f>_xlfn.STDEV.S(G$3:G$12)</f>
        <v>0.21690141800247192</v>
      </c>
      <c r="H64">
        <f t="shared" ref="H64:AF64" si="8">_xlfn.STDEV.S(H$3:H$12)</f>
        <v>0.22485101772795626</v>
      </c>
      <c r="I64">
        <f t="shared" si="8"/>
        <v>0.25883511404576198</v>
      </c>
      <c r="J64">
        <f t="shared" si="8"/>
        <v>0.19047067860142744</v>
      </c>
      <c r="K64">
        <f t="shared" si="8"/>
        <v>0.19015596185693734</v>
      </c>
      <c r="L64">
        <f t="shared" si="8"/>
        <v>0.22747716503699039</v>
      </c>
      <c r="M64">
        <f t="shared" si="8"/>
        <v>0.25279056437353925</v>
      </c>
      <c r="N64">
        <f t="shared" si="8"/>
        <v>0.20833515516722026</v>
      </c>
      <c r="O64">
        <f t="shared" si="8"/>
        <v>0.2129521758764028</v>
      </c>
      <c r="P64">
        <f t="shared" si="8"/>
        <v>0.15931991864401526</v>
      </c>
      <c r="Q64" s="3">
        <f t="shared" si="8"/>
        <v>0.2296567517976536</v>
      </c>
      <c r="R64">
        <f t="shared" si="8"/>
        <v>0.1915946009307373</v>
      </c>
      <c r="S64">
        <f t="shared" si="8"/>
        <v>0.22542566403111833</v>
      </c>
      <c r="T64">
        <f t="shared" si="8"/>
        <v>9.145701491713934E-2</v>
      </c>
      <c r="U64">
        <f t="shared" si="8"/>
        <v>0.22731012211032725</v>
      </c>
      <c r="V64">
        <f t="shared" si="8"/>
        <v>0.16489686767632158</v>
      </c>
      <c r="W64">
        <f t="shared" si="8"/>
        <v>0.22628822455751887</v>
      </c>
      <c r="X64">
        <f t="shared" si="8"/>
        <v>0.24612682294751248</v>
      </c>
      <c r="Y64">
        <f t="shared" si="8"/>
        <v>0.19875597622475183</v>
      </c>
      <c r="Z64">
        <f t="shared" si="8"/>
        <v>0.20875074501921953</v>
      </c>
      <c r="AA64">
        <f t="shared" si="8"/>
        <v>0.24301168446823035</v>
      </c>
      <c r="AB64">
        <f t="shared" si="8"/>
        <v>0.2445503208141111</v>
      </c>
      <c r="AC64">
        <f t="shared" si="8"/>
        <v>0.22796904702424531</v>
      </c>
      <c r="AD64">
        <f t="shared" si="8"/>
        <v>0.22014804811227104</v>
      </c>
      <c r="AE64">
        <f t="shared" si="8"/>
        <v>0.15082393613806602</v>
      </c>
      <c r="AF64">
        <f t="shared" si="8"/>
        <v>0.23130212466223204</v>
      </c>
    </row>
    <row r="65" spans="1:32" x14ac:dyDescent="0.25">
      <c r="Q65" s="3"/>
    </row>
    <row r="66" spans="1:32" x14ac:dyDescent="0.25">
      <c r="A66">
        <f>A13</f>
        <v>459</v>
      </c>
      <c r="B66" s="15" t="s">
        <v>26</v>
      </c>
      <c r="C66">
        <f>AVERAGE(C$13:C$22)</f>
        <v>1.1544292490757928</v>
      </c>
      <c r="D66">
        <f>AVERAGE(D$13:D$22)</f>
        <v>0.86438515287750906</v>
      </c>
      <c r="E66">
        <f>AVERAGE(E$13:E$22)</f>
        <v>1.0228098838340212</v>
      </c>
      <c r="F66">
        <f>AVERAGE(F$13:F$22)</f>
        <v>0.91807849053794077</v>
      </c>
      <c r="G66">
        <f>AVERAGE(G$13:G$22)</f>
        <v>1.0538842675250315</v>
      </c>
      <c r="H66">
        <f t="shared" ref="H66:AF66" si="9">AVERAGE(H$13:H$22)</f>
        <v>0.96362304836367263</v>
      </c>
      <c r="I66">
        <f t="shared" si="9"/>
        <v>1.208398885901018</v>
      </c>
      <c r="J66">
        <f t="shared" si="9"/>
        <v>1.0231382471395967</v>
      </c>
      <c r="K66">
        <f t="shared" si="9"/>
        <v>1.1254245689535316</v>
      </c>
      <c r="L66">
        <f t="shared" si="9"/>
        <v>1.0614208571856847</v>
      </c>
      <c r="M66">
        <f t="shared" si="9"/>
        <v>0.92377528046316537</v>
      </c>
      <c r="N66">
        <f t="shared" si="9"/>
        <v>0.88377880890103566</v>
      </c>
      <c r="O66">
        <f t="shared" si="9"/>
        <v>0.87860912452885565</v>
      </c>
      <c r="P66">
        <f t="shared" si="9"/>
        <v>0.90850672928774068</v>
      </c>
      <c r="Q66" s="3">
        <f t="shared" si="9"/>
        <v>0.89367344276425842</v>
      </c>
      <c r="R66">
        <f t="shared" si="9"/>
        <v>0.41024828237792405</v>
      </c>
      <c r="S66">
        <f t="shared" si="9"/>
        <v>0.62348856478003145</v>
      </c>
      <c r="T66">
        <f t="shared" si="9"/>
        <v>0.48557582533718546</v>
      </c>
      <c r="U66">
        <f t="shared" si="9"/>
        <v>0.60297991916341787</v>
      </c>
      <c r="V66">
        <f t="shared" si="9"/>
        <v>0.59110223893014202</v>
      </c>
      <c r="W66">
        <f t="shared" si="9"/>
        <v>0.53768365123919526</v>
      </c>
      <c r="X66">
        <f t="shared" si="9"/>
        <v>0.4052692215797844</v>
      </c>
      <c r="Y66">
        <f t="shared" si="9"/>
        <v>0.52350511797752364</v>
      </c>
      <c r="Z66">
        <f t="shared" si="9"/>
        <v>0.45043439428097348</v>
      </c>
      <c r="AA66">
        <f t="shared" si="9"/>
        <v>0.48576935629042772</v>
      </c>
      <c r="AB66">
        <f t="shared" si="9"/>
        <v>0.58572634271797697</v>
      </c>
      <c r="AC66">
        <f t="shared" si="9"/>
        <v>0.61230621887047376</v>
      </c>
      <c r="AD66">
        <f t="shared" si="9"/>
        <v>0.6076605027555293</v>
      </c>
      <c r="AE66">
        <f t="shared" si="9"/>
        <v>0.59735485486600404</v>
      </c>
      <c r="AF66">
        <f t="shared" si="9"/>
        <v>0.61663440834905647</v>
      </c>
    </row>
    <row r="67" spans="1:32" x14ac:dyDescent="0.25">
      <c r="B67" s="15" t="s">
        <v>27</v>
      </c>
      <c r="C67">
        <f>_xlfn.STDEV.P(C$13:C$22)</f>
        <v>0.43028040697578668</v>
      </c>
      <c r="D67">
        <f>_xlfn.STDEV.P(D$13:D$22)</f>
        <v>0.15915855489264746</v>
      </c>
      <c r="E67">
        <f>_xlfn.STDEV.P(E$13:E$22)</f>
        <v>0.31343502476692375</v>
      </c>
      <c r="F67">
        <f>_xlfn.STDEV.P(F$13:F$22)</f>
        <v>0.24848421634958495</v>
      </c>
      <c r="G67">
        <f>_xlfn.STDEV.P(G$13:G$22)</f>
        <v>0.2892669646031179</v>
      </c>
      <c r="H67">
        <f t="shared" ref="H67:AF67" si="10">_xlfn.STDEV.P(H$13:H$22)</f>
        <v>0.214658127256182</v>
      </c>
      <c r="I67">
        <f t="shared" si="10"/>
        <v>0.35822602114905738</v>
      </c>
      <c r="J67">
        <f t="shared" si="10"/>
        <v>0.20452523865883071</v>
      </c>
      <c r="K67">
        <f t="shared" si="10"/>
        <v>0.30939120327369224</v>
      </c>
      <c r="L67">
        <f t="shared" si="10"/>
        <v>0.23917567113599039</v>
      </c>
      <c r="M67">
        <f t="shared" si="10"/>
        <v>0.24329683586522893</v>
      </c>
      <c r="N67">
        <f t="shared" si="10"/>
        <v>0.20487567886620434</v>
      </c>
      <c r="O67">
        <f t="shared" si="10"/>
        <v>0.18101296663961497</v>
      </c>
      <c r="P67">
        <f t="shared" si="10"/>
        <v>0.17399083100487531</v>
      </c>
      <c r="Q67" s="3">
        <f t="shared" si="10"/>
        <v>0.18624097286955191</v>
      </c>
      <c r="R67">
        <f t="shared" si="10"/>
        <v>0.17592000079336861</v>
      </c>
      <c r="S67">
        <f t="shared" si="10"/>
        <v>0.13492823179702076</v>
      </c>
      <c r="T67">
        <f t="shared" si="10"/>
        <v>0.23458467967247595</v>
      </c>
      <c r="U67">
        <f t="shared" si="10"/>
        <v>0.19356838251425379</v>
      </c>
      <c r="V67">
        <f t="shared" si="10"/>
        <v>0.18411731947544877</v>
      </c>
      <c r="W67">
        <f t="shared" si="10"/>
        <v>0.22345837125965121</v>
      </c>
      <c r="X67">
        <f t="shared" si="10"/>
        <v>0.21464616581253965</v>
      </c>
      <c r="Y67">
        <f t="shared" si="10"/>
        <v>0.21742387227185073</v>
      </c>
      <c r="Z67">
        <f t="shared" si="10"/>
        <v>0.26090420158586503</v>
      </c>
      <c r="AA67">
        <f t="shared" si="10"/>
        <v>0.24627335757991267</v>
      </c>
      <c r="AB67">
        <f t="shared" si="10"/>
        <v>0.1593516673204434</v>
      </c>
      <c r="AC67">
        <f t="shared" si="10"/>
        <v>0.15952512429334773</v>
      </c>
      <c r="AD67">
        <f t="shared" si="10"/>
        <v>0.13835047163150158</v>
      </c>
      <c r="AE67">
        <f t="shared" si="10"/>
        <v>0.19360774484857246</v>
      </c>
      <c r="AF67">
        <f t="shared" si="10"/>
        <v>0.23254854456082308</v>
      </c>
    </row>
    <row r="68" spans="1:32" x14ac:dyDescent="0.25">
      <c r="B68" s="15" t="s">
        <v>28</v>
      </c>
      <c r="C68">
        <f>_xlfn.STDEV.S(C$13:C$22)</f>
        <v>0.45355537286256292</v>
      </c>
      <c r="D68">
        <f>_xlfn.STDEV.S(D$13:D$22)</f>
        <v>0.1677678475205675</v>
      </c>
      <c r="E68">
        <f>_xlfn.STDEV.S(E$13:E$22)</f>
        <v>0.33038952557825518</v>
      </c>
      <c r="F68">
        <f>_xlfn.STDEV.S(F$13:F$22)</f>
        <v>0.26192536208891309</v>
      </c>
      <c r="G68">
        <f>_xlfn.STDEV.S(G$13:G$22)</f>
        <v>0.30491415332971927</v>
      </c>
      <c r="H68">
        <f t="shared" ref="H68:AF68" si="11">_xlfn.STDEV.S(H$13:H$22)</f>
        <v>0.22626953346526874</v>
      </c>
      <c r="I68">
        <f t="shared" si="11"/>
        <v>0.37760338132355664</v>
      </c>
      <c r="J68">
        <f t="shared" si="11"/>
        <v>0.21558853105047579</v>
      </c>
      <c r="K68">
        <f t="shared" si="11"/>
        <v>0.32612696345500347</v>
      </c>
      <c r="L68">
        <f t="shared" si="11"/>
        <v>0.25211329389637399</v>
      </c>
      <c r="M68">
        <f t="shared" si="11"/>
        <v>0.25645738294875547</v>
      </c>
      <c r="N68">
        <f t="shared" si="11"/>
        <v>0.21595792746347628</v>
      </c>
      <c r="O68">
        <f t="shared" si="11"/>
        <v>0.19080442020175289</v>
      </c>
      <c r="P68">
        <f t="shared" si="11"/>
        <v>0.18340243932028277</v>
      </c>
      <c r="Q68" s="3">
        <f t="shared" si="11"/>
        <v>0.19631522263780313</v>
      </c>
      <c r="R68">
        <f t="shared" si="11"/>
        <v>0.1854359628285577</v>
      </c>
      <c r="S68">
        <f t="shared" si="11"/>
        <v>0.14222684437924629</v>
      </c>
      <c r="T68">
        <f t="shared" si="11"/>
        <v>0.24727396398200874</v>
      </c>
      <c r="U68">
        <f t="shared" si="11"/>
        <v>0.20403899057991748</v>
      </c>
      <c r="V68">
        <f t="shared" si="11"/>
        <v>0.19407669540909875</v>
      </c>
      <c r="W68">
        <f t="shared" si="11"/>
        <v>0.23554580513733558</v>
      </c>
      <c r="X68">
        <f t="shared" si="11"/>
        <v>0.22625692499659728</v>
      </c>
      <c r="Y68">
        <f t="shared" si="11"/>
        <v>0.22918488469085893</v>
      </c>
      <c r="Z68">
        <f t="shared" si="11"/>
        <v>0.27501717603968273</v>
      </c>
      <c r="AA68">
        <f t="shared" si="11"/>
        <v>0.25959491232320564</v>
      </c>
      <c r="AB68">
        <f t="shared" si="11"/>
        <v>0.16797140589267393</v>
      </c>
      <c r="AC68">
        <f t="shared" si="11"/>
        <v>0.16815424559614583</v>
      </c>
      <c r="AD68">
        <f t="shared" si="11"/>
        <v>0.14583420190468555</v>
      </c>
      <c r="AE68">
        <f t="shared" si="11"/>
        <v>0.20408048212340679</v>
      </c>
      <c r="AF68">
        <f t="shared" si="11"/>
        <v>0.24512768912312058</v>
      </c>
    </row>
    <row r="69" spans="1:32" x14ac:dyDescent="0.25">
      <c r="Q69" s="3"/>
    </row>
    <row r="70" spans="1:32" x14ac:dyDescent="0.25">
      <c r="A70">
        <f>A23</f>
        <v>854</v>
      </c>
      <c r="B70" s="15" t="s">
        <v>26</v>
      </c>
      <c r="C70">
        <f>AVERAGE(C$23:C$32)</f>
        <v>1.0731610544550931</v>
      </c>
      <c r="D70">
        <f>AVERAGE(D$23:D$32)</f>
        <v>1.0081377569860153</v>
      </c>
      <c r="E70">
        <f>AVERAGE(E$23:E$32)</f>
        <v>0.92808164125270376</v>
      </c>
      <c r="F70">
        <f>AVERAGE(F$23:F$32)</f>
        <v>1.0630389706881038</v>
      </c>
      <c r="G70">
        <f>AVERAGE(G$23:G$32)</f>
        <v>1.052145793224124</v>
      </c>
      <c r="H70">
        <f t="shared" ref="H70:AF70" si="12">AVERAGE(H$23:H$32)</f>
        <v>1.0197707020449169</v>
      </c>
      <c r="I70">
        <f t="shared" si="12"/>
        <v>1.0946471684715773</v>
      </c>
      <c r="J70">
        <f t="shared" si="12"/>
        <v>0.94232161067301656</v>
      </c>
      <c r="K70">
        <f t="shared" si="12"/>
        <v>1.0600716631814984</v>
      </c>
      <c r="L70">
        <f t="shared" si="12"/>
        <v>1.0648517982686134</v>
      </c>
      <c r="M70">
        <f t="shared" si="12"/>
        <v>0.89775004995576801</v>
      </c>
      <c r="N70">
        <f t="shared" si="12"/>
        <v>0.9539917920675427</v>
      </c>
      <c r="O70">
        <f t="shared" si="12"/>
        <v>0.89907262365642659</v>
      </c>
      <c r="P70">
        <f t="shared" si="12"/>
        <v>0.89759131878308518</v>
      </c>
      <c r="Q70" s="3">
        <f t="shared" si="12"/>
        <v>0.95284972548080393</v>
      </c>
      <c r="R70">
        <f t="shared" si="12"/>
        <v>0.49278012387797254</v>
      </c>
      <c r="S70">
        <f t="shared" si="12"/>
        <v>0.46892032834101338</v>
      </c>
      <c r="T70">
        <f t="shared" si="12"/>
        <v>0.56452203352783525</v>
      </c>
      <c r="U70">
        <f t="shared" si="12"/>
        <v>0.48186621785668127</v>
      </c>
      <c r="V70">
        <f t="shared" si="12"/>
        <v>0.55596850546173127</v>
      </c>
      <c r="W70">
        <f t="shared" si="12"/>
        <v>0.53669592685291168</v>
      </c>
      <c r="X70">
        <f t="shared" si="12"/>
        <v>0.42996018515037548</v>
      </c>
      <c r="Y70">
        <f t="shared" si="12"/>
        <v>0.53830767672679214</v>
      </c>
      <c r="Z70">
        <f t="shared" si="12"/>
        <v>0.46939644224187382</v>
      </c>
      <c r="AA70">
        <f t="shared" si="12"/>
        <v>0.45543909803065397</v>
      </c>
      <c r="AB70">
        <f t="shared" si="12"/>
        <v>0.58335567682398315</v>
      </c>
      <c r="AC70">
        <f t="shared" si="12"/>
        <v>0.52502763836904076</v>
      </c>
      <c r="AD70">
        <f t="shared" si="12"/>
        <v>0.58001350518120265</v>
      </c>
      <c r="AE70">
        <f t="shared" si="12"/>
        <v>0.58550377689150479</v>
      </c>
      <c r="AF70">
        <f t="shared" si="12"/>
        <v>0.54707349847147269</v>
      </c>
    </row>
    <row r="71" spans="1:32" x14ac:dyDescent="0.25">
      <c r="B71" s="15" t="s">
        <v>27</v>
      </c>
      <c r="C71">
        <f>_xlfn.STDEV.P(C$23:C$32)</f>
        <v>0.30023573288929628</v>
      </c>
      <c r="D71">
        <f>_xlfn.STDEV.P(D$23:D$32)</f>
        <v>0.1402650182363902</v>
      </c>
      <c r="E71">
        <f>_xlfn.STDEV.P(E$23:E$32)</f>
        <v>0.1347822352972611</v>
      </c>
      <c r="F71">
        <f>_xlfn.STDEV.P(F$23:F$32)</f>
        <v>0.24087852948310928</v>
      </c>
      <c r="G71">
        <f>_xlfn.STDEV.P(G$23:G$32)</f>
        <v>0.18498071068524208</v>
      </c>
      <c r="H71">
        <f t="shared" ref="H71:AF71" si="13">_xlfn.STDEV.P(H$23:H$32)</f>
        <v>0.15575079057511323</v>
      </c>
      <c r="I71">
        <f t="shared" si="13"/>
        <v>0.19968990835363409</v>
      </c>
      <c r="J71">
        <f t="shared" si="13"/>
        <v>0.20904449247111306</v>
      </c>
      <c r="K71">
        <f t="shared" si="13"/>
        <v>0.19620066673351982</v>
      </c>
      <c r="L71">
        <f t="shared" si="13"/>
        <v>0.15133302624998354</v>
      </c>
      <c r="M71">
        <f t="shared" si="13"/>
        <v>0.20288662068503588</v>
      </c>
      <c r="N71">
        <f t="shared" si="13"/>
        <v>0.19239674734233858</v>
      </c>
      <c r="O71">
        <f t="shared" si="13"/>
        <v>0.21389189409259857</v>
      </c>
      <c r="P71">
        <f t="shared" si="13"/>
        <v>0.13683425756448583</v>
      </c>
      <c r="Q71" s="3">
        <f t="shared" si="13"/>
        <v>0.12362849929747496</v>
      </c>
      <c r="R71">
        <f t="shared" si="13"/>
        <v>0.24214821553521551</v>
      </c>
      <c r="S71">
        <f t="shared" si="13"/>
        <v>0.13763437154105551</v>
      </c>
      <c r="T71">
        <f t="shared" si="13"/>
        <v>0.16394318564399948</v>
      </c>
      <c r="U71">
        <f t="shared" si="13"/>
        <v>0.13571347258302993</v>
      </c>
      <c r="V71">
        <f t="shared" si="13"/>
        <v>0.12297429188841125</v>
      </c>
      <c r="W71">
        <f t="shared" si="13"/>
        <v>0.12017109228297457</v>
      </c>
      <c r="X71">
        <f t="shared" si="13"/>
        <v>0.22450549908452908</v>
      </c>
      <c r="Y71">
        <f t="shared" si="13"/>
        <v>0.14255627625244749</v>
      </c>
      <c r="Z71">
        <f t="shared" si="13"/>
        <v>0.17619979233122679</v>
      </c>
      <c r="AA71">
        <f t="shared" si="13"/>
        <v>0.15526133702321701</v>
      </c>
      <c r="AB71">
        <f t="shared" si="13"/>
        <v>0.15346470815452834</v>
      </c>
      <c r="AC71">
        <f t="shared" si="13"/>
        <v>0.10721827574536275</v>
      </c>
      <c r="AD71">
        <f t="shared" si="13"/>
        <v>0.12567497585775544</v>
      </c>
      <c r="AE71">
        <f t="shared" si="13"/>
        <v>9.3364764598428712E-2</v>
      </c>
      <c r="AF71">
        <f t="shared" si="13"/>
        <v>0.13260396584996914</v>
      </c>
    </row>
    <row r="72" spans="1:32" x14ac:dyDescent="0.25">
      <c r="B72" s="15" t="s">
        <v>28</v>
      </c>
      <c r="C72">
        <f>_xlfn.STDEV.S(C$23:C$32)</f>
        <v>0.31647625030003423</v>
      </c>
      <c r="D72">
        <f>_xlfn.STDEV.S(D$23:D$32)</f>
        <v>0.14785231122401557</v>
      </c>
      <c r="E72">
        <f>_xlfn.STDEV.S(E$23:E$32)</f>
        <v>0.1420729505560285</v>
      </c>
      <c r="F72">
        <f>_xlfn.STDEV.S(F$23:F$32)</f>
        <v>0.25390826419954904</v>
      </c>
      <c r="G72">
        <f>_xlfn.STDEV.S(G$23:G$32)</f>
        <v>0.19498678965400404</v>
      </c>
      <c r="H72">
        <f t="shared" ref="H72:AF72" si="14">_xlfn.STDEV.S(H$23:H$32)</f>
        <v>0.16417574852974787</v>
      </c>
      <c r="I72">
        <f t="shared" si="14"/>
        <v>0.21049164538258958</v>
      </c>
      <c r="J72">
        <f t="shared" si="14"/>
        <v>0.22035224284087926</v>
      </c>
      <c r="K72">
        <f t="shared" si="14"/>
        <v>0.20681366177385024</v>
      </c>
      <c r="L72">
        <f t="shared" si="14"/>
        <v>0.15951901605199931</v>
      </c>
      <c r="M72">
        <f t="shared" si="14"/>
        <v>0.21386127604644817</v>
      </c>
      <c r="N72">
        <f t="shared" si="14"/>
        <v>0.20280397866991254</v>
      </c>
      <c r="O72">
        <f t="shared" si="14"/>
        <v>0.22546185279337505</v>
      </c>
      <c r="P72">
        <f t="shared" si="14"/>
        <v>0.14423597194729987</v>
      </c>
      <c r="Q72" s="3">
        <f t="shared" si="14"/>
        <v>0.13031588049618242</v>
      </c>
      <c r="R72">
        <f t="shared" si="14"/>
        <v>0.25524663081221666</v>
      </c>
      <c r="S72">
        <f t="shared" si="14"/>
        <v>0.14507936613186484</v>
      </c>
      <c r="T72">
        <f t="shared" si="14"/>
        <v>0.17281129116628566</v>
      </c>
      <c r="U72">
        <f t="shared" si="14"/>
        <v>0.14305456084439647</v>
      </c>
      <c r="V72">
        <f t="shared" si="14"/>
        <v>0.12962628533791618</v>
      </c>
      <c r="W72">
        <f t="shared" si="14"/>
        <v>0.12667145350816092</v>
      </c>
      <c r="X72">
        <f t="shared" si="14"/>
        <v>0.2366495747799863</v>
      </c>
      <c r="Y72">
        <f t="shared" si="14"/>
        <v>0.15026750923663568</v>
      </c>
      <c r="Z72">
        <f t="shared" si="14"/>
        <v>0.18573088900511547</v>
      </c>
      <c r="AA72">
        <f t="shared" si="14"/>
        <v>0.16365981918546429</v>
      </c>
      <c r="AB72">
        <f t="shared" si="14"/>
        <v>0.161766006073775</v>
      </c>
      <c r="AC72">
        <f t="shared" si="14"/>
        <v>0.11301798605044465</v>
      </c>
      <c r="AD72">
        <f t="shared" si="14"/>
        <v>0.13247305619906008</v>
      </c>
      <c r="AE72">
        <f t="shared" si="14"/>
        <v>9.8415103112163504E-2</v>
      </c>
      <c r="AF72">
        <f t="shared" si="14"/>
        <v>0.13977685295236281</v>
      </c>
    </row>
    <row r="73" spans="1:32" x14ac:dyDescent="0.25">
      <c r="Q73" s="3"/>
    </row>
    <row r="74" spans="1:32" x14ac:dyDescent="0.25">
      <c r="A74">
        <f>A33</f>
        <v>912</v>
      </c>
      <c r="B74" s="15" t="s">
        <v>26</v>
      </c>
      <c r="C74">
        <f>AVERAGE(C$33:C$42)</f>
        <v>1.194437580401472</v>
      </c>
      <c r="D74">
        <f>AVERAGE(D$33:D$42)</f>
        <v>0.94699498064510357</v>
      </c>
      <c r="E74">
        <f>AVERAGE(E$33:E$42)</f>
        <v>1.0401614011220643</v>
      </c>
      <c r="F74">
        <f>AVERAGE(F$33:F$42)</f>
        <v>0.94766652102924154</v>
      </c>
      <c r="G74">
        <f>AVERAGE(G$33:G$42)</f>
        <v>1.1136652187756333</v>
      </c>
      <c r="H74">
        <f t="shared" ref="H74:AF74" si="15">AVERAGE(H$33:H$42)</f>
        <v>0.91687527489841203</v>
      </c>
      <c r="I74">
        <f t="shared" si="15"/>
        <v>1.0855633753605134</v>
      </c>
      <c r="J74">
        <f t="shared" si="15"/>
        <v>1.0338780598800785</v>
      </c>
      <c r="K74">
        <f t="shared" si="15"/>
        <v>1.1056986413940866</v>
      </c>
      <c r="L74">
        <f t="shared" si="15"/>
        <v>1.0817466098422062</v>
      </c>
      <c r="M74">
        <f t="shared" si="15"/>
        <v>0.98488235998569496</v>
      </c>
      <c r="N74">
        <f t="shared" si="15"/>
        <v>0.98178660768847603</v>
      </c>
      <c r="O74">
        <f t="shared" si="15"/>
        <v>0.94114240449249886</v>
      </c>
      <c r="P74">
        <f t="shared" si="15"/>
        <v>0.88491899913345295</v>
      </c>
      <c r="Q74" s="3">
        <f t="shared" si="15"/>
        <v>0.8915406855043384</v>
      </c>
      <c r="R74">
        <f t="shared" si="15"/>
        <v>0.39681151550604638</v>
      </c>
      <c r="S74">
        <f t="shared" si="15"/>
        <v>0.53444515421832928</v>
      </c>
      <c r="T74">
        <f t="shared" si="15"/>
        <v>0.43875750277989684</v>
      </c>
      <c r="U74">
        <f t="shared" si="15"/>
        <v>0.52271804585898352</v>
      </c>
      <c r="V74">
        <f t="shared" si="15"/>
        <v>0.48594014296234977</v>
      </c>
      <c r="W74">
        <f t="shared" si="15"/>
        <v>0.55685093212688508</v>
      </c>
      <c r="X74">
        <f t="shared" si="15"/>
        <v>0.44332046581773088</v>
      </c>
      <c r="Y74">
        <f t="shared" si="15"/>
        <v>0.47401194496772792</v>
      </c>
      <c r="Z74">
        <f t="shared" si="15"/>
        <v>0.42576810597791087</v>
      </c>
      <c r="AA74">
        <f t="shared" si="15"/>
        <v>0.43917055572795027</v>
      </c>
      <c r="AB74">
        <f t="shared" si="15"/>
        <v>0.50494116561111491</v>
      </c>
      <c r="AC74">
        <f t="shared" si="15"/>
        <v>0.51098140968979644</v>
      </c>
      <c r="AD74">
        <f t="shared" si="15"/>
        <v>0.54235067470472842</v>
      </c>
      <c r="AE74">
        <f t="shared" si="15"/>
        <v>0.58091552382392397</v>
      </c>
      <c r="AF74">
        <f t="shared" si="15"/>
        <v>0.56354339972934908</v>
      </c>
    </row>
    <row r="75" spans="1:32" x14ac:dyDescent="0.25">
      <c r="B75" s="15" t="s">
        <v>27</v>
      </c>
      <c r="C75">
        <f>_xlfn.STDEV.P(C$33:C$42)</f>
        <v>0.47573435570432515</v>
      </c>
      <c r="D75">
        <f>_xlfn.STDEV.P(D$33:D$42)</f>
        <v>0.21343008620462559</v>
      </c>
      <c r="E75">
        <f>_xlfn.STDEV.P(E$33:E$42)</f>
        <v>0.27685407100790865</v>
      </c>
      <c r="F75">
        <f>_xlfn.STDEV.P(F$33:F$42)</f>
        <v>0.15814258146413282</v>
      </c>
      <c r="G75">
        <f>_xlfn.STDEV.P(G$33:G$42)</f>
        <v>0.20143756811073452</v>
      </c>
      <c r="H75">
        <f t="shared" ref="H75:AF75" si="16">_xlfn.STDEV.P(H$33:H$42)</f>
        <v>0.10067575699357732</v>
      </c>
      <c r="I75">
        <f t="shared" si="16"/>
        <v>0.25118573041629599</v>
      </c>
      <c r="J75">
        <f t="shared" si="16"/>
        <v>0.216191151209433</v>
      </c>
      <c r="K75">
        <f t="shared" si="16"/>
        <v>0.16340680351406839</v>
      </c>
      <c r="L75">
        <f t="shared" si="16"/>
        <v>0.16390687530364195</v>
      </c>
      <c r="M75">
        <f t="shared" si="16"/>
        <v>0.19632509770303078</v>
      </c>
      <c r="N75">
        <f t="shared" si="16"/>
        <v>0.13777730488948897</v>
      </c>
      <c r="O75">
        <f t="shared" si="16"/>
        <v>0.1348074310635819</v>
      </c>
      <c r="P75">
        <f t="shared" si="16"/>
        <v>0.17572642886216924</v>
      </c>
      <c r="Q75" s="3">
        <f t="shared" si="16"/>
        <v>0.16676807786513145</v>
      </c>
      <c r="R75">
        <f t="shared" si="16"/>
        <v>0.22680088214346694</v>
      </c>
      <c r="S75">
        <f t="shared" si="16"/>
        <v>0.19765737472892131</v>
      </c>
      <c r="T75">
        <f t="shared" si="16"/>
        <v>0.2316334583903247</v>
      </c>
      <c r="U75">
        <f t="shared" si="16"/>
        <v>0.17191009655465975</v>
      </c>
      <c r="V75">
        <f t="shared" si="16"/>
        <v>0.21548782008265999</v>
      </c>
      <c r="W75">
        <f t="shared" si="16"/>
        <v>0.18315446015740222</v>
      </c>
      <c r="X75">
        <f t="shared" si="16"/>
        <v>0.26500338486546143</v>
      </c>
      <c r="Y75">
        <f t="shared" si="16"/>
        <v>0.19637023751139807</v>
      </c>
      <c r="Z75">
        <f t="shared" si="16"/>
        <v>0.19371382353975125</v>
      </c>
      <c r="AA75">
        <f t="shared" si="16"/>
        <v>0.2166073318176005</v>
      </c>
      <c r="AB75">
        <f t="shared" si="16"/>
        <v>0.19341515941333348</v>
      </c>
      <c r="AC75">
        <f t="shared" si="16"/>
        <v>0.17421364267653333</v>
      </c>
      <c r="AD75">
        <f t="shared" si="16"/>
        <v>0.17058982429724942</v>
      </c>
      <c r="AE75">
        <f t="shared" si="16"/>
        <v>0.20760005332063541</v>
      </c>
      <c r="AF75">
        <f t="shared" si="16"/>
        <v>0.19974262778383492</v>
      </c>
    </row>
    <row r="76" spans="1:32" x14ac:dyDescent="0.25">
      <c r="B76" s="15" t="s">
        <v>28</v>
      </c>
      <c r="C76">
        <f>_xlfn.STDEV.S(C$33:C$42)</f>
        <v>0.50146804173946169</v>
      </c>
      <c r="D76">
        <f>_xlfn.STDEV.S(D$33:D$42)</f>
        <v>0.22497506453756602</v>
      </c>
      <c r="E76">
        <f>_xlfn.STDEV.S(E$33:E$42)</f>
        <v>0.29182981462499336</v>
      </c>
      <c r="F76">
        <f>_xlfn.STDEV.S(F$33:F$42)</f>
        <v>0.16669691749512844</v>
      </c>
      <c r="G76">
        <f>_xlfn.STDEV.S(G$33:G$42)</f>
        <v>0.21233384051840737</v>
      </c>
      <c r="H76">
        <f t="shared" ref="H76:AF76" si="17">_xlfn.STDEV.S(H$33:H$42)</f>
        <v>0.10612156575377613</v>
      </c>
      <c r="I76">
        <f t="shared" si="17"/>
        <v>0.26477300794950975</v>
      </c>
      <c r="J76">
        <f t="shared" si="17"/>
        <v>0.22788548259855818</v>
      </c>
      <c r="K76">
        <f t="shared" si="17"/>
        <v>0.17224589475735422</v>
      </c>
      <c r="L76">
        <f t="shared" si="17"/>
        <v>0.17277301670690373</v>
      </c>
      <c r="M76">
        <f t="shared" si="17"/>
        <v>0.20694482353222304</v>
      </c>
      <c r="N76">
        <f t="shared" si="17"/>
        <v>0.14523003111007995</v>
      </c>
      <c r="O76">
        <f t="shared" si="17"/>
        <v>0.14209950922568459</v>
      </c>
      <c r="P76">
        <f t="shared" si="17"/>
        <v>0.18523192009733544</v>
      </c>
      <c r="Q76" s="3">
        <f t="shared" si="17"/>
        <v>0.17578898902070866</v>
      </c>
      <c r="R76">
        <f t="shared" si="17"/>
        <v>0.23906912096958902</v>
      </c>
      <c r="S76">
        <f t="shared" si="17"/>
        <v>0.20834916682426599</v>
      </c>
      <c r="T76">
        <f t="shared" si="17"/>
        <v>0.2441631036050885</v>
      </c>
      <c r="U76">
        <f t="shared" si="17"/>
        <v>0.18120915263072992</v>
      </c>
      <c r="V76">
        <f t="shared" si="17"/>
        <v>0.22714410649525954</v>
      </c>
      <c r="W76">
        <f t="shared" si="17"/>
        <v>0.19306175257198416</v>
      </c>
      <c r="X76">
        <f t="shared" si="17"/>
        <v>0.27933809460968401</v>
      </c>
      <c r="Y76">
        <f t="shared" si="17"/>
        <v>0.20699240506808436</v>
      </c>
      <c r="Z76">
        <f t="shared" si="17"/>
        <v>0.20419229888185161</v>
      </c>
      <c r="AA76">
        <f t="shared" si="17"/>
        <v>0.22832417547849249</v>
      </c>
      <c r="AB76">
        <f t="shared" si="17"/>
        <v>0.20387747925023014</v>
      </c>
      <c r="AC76">
        <f t="shared" si="17"/>
        <v>0.18363730344418597</v>
      </c>
      <c r="AD76">
        <f t="shared" si="17"/>
        <v>0.17981746347574698</v>
      </c>
      <c r="AE76">
        <f t="shared" si="17"/>
        <v>0.21882967028853667</v>
      </c>
      <c r="AF76">
        <f t="shared" si="17"/>
        <v>0.21054721654138311</v>
      </c>
    </row>
    <row r="77" spans="1:32" x14ac:dyDescent="0.25">
      <c r="Q77" s="3"/>
    </row>
    <row r="78" spans="1:32" x14ac:dyDescent="0.25">
      <c r="A78">
        <f>A43</f>
        <v>1257</v>
      </c>
      <c r="B78" s="15" t="s">
        <v>26</v>
      </c>
      <c r="C78">
        <f>AVERAGE(C$43:C$52)</f>
        <v>1.2465469049573765</v>
      </c>
      <c r="D78">
        <f>AVERAGE(D$43:D$52)</f>
        <v>0.93229139868080357</v>
      </c>
      <c r="E78">
        <f>AVERAGE(E$43:E$52)</f>
        <v>1.0567179446310255</v>
      </c>
      <c r="F78">
        <f>AVERAGE(F$43:F$52)</f>
        <v>1.0181150030448571</v>
      </c>
      <c r="G78">
        <f>AVERAGE(G$43:G$52)</f>
        <v>1.0899754424310977</v>
      </c>
      <c r="H78">
        <f t="shared" ref="H78:AF78" si="18">AVERAGE(H$43:H$52)</f>
        <v>0.959465009260424</v>
      </c>
      <c r="I78">
        <f t="shared" si="18"/>
        <v>1.0674198562734545</v>
      </c>
      <c r="J78">
        <f t="shared" si="18"/>
        <v>1.0302634361396747</v>
      </c>
      <c r="K78">
        <f t="shared" si="18"/>
        <v>1.1253034269688196</v>
      </c>
      <c r="L78">
        <f t="shared" si="18"/>
        <v>1.0415050479767647</v>
      </c>
      <c r="M78">
        <f t="shared" si="18"/>
        <v>0.92395038198042434</v>
      </c>
      <c r="N78">
        <f t="shared" si="18"/>
        <v>0.94436820022910661</v>
      </c>
      <c r="O78">
        <f t="shared" si="18"/>
        <v>0.90394345876538174</v>
      </c>
      <c r="P78">
        <f t="shared" si="18"/>
        <v>0.82426008942249496</v>
      </c>
      <c r="Q78" s="3">
        <f t="shared" si="18"/>
        <v>0.77653162159780753</v>
      </c>
      <c r="R78">
        <f t="shared" si="18"/>
        <v>0.43143119286265252</v>
      </c>
      <c r="S78">
        <f t="shared" si="18"/>
        <v>0.63168611446577305</v>
      </c>
      <c r="T78">
        <f t="shared" si="18"/>
        <v>0.48200625393059005</v>
      </c>
      <c r="U78">
        <f t="shared" si="18"/>
        <v>0.54625959194114948</v>
      </c>
      <c r="V78">
        <f t="shared" si="18"/>
        <v>0.54498133305918528</v>
      </c>
      <c r="W78">
        <f t="shared" si="18"/>
        <v>0.55820250072817967</v>
      </c>
      <c r="X78">
        <f t="shared" si="18"/>
        <v>0.49615811908735896</v>
      </c>
      <c r="Y78">
        <f t="shared" si="18"/>
        <v>0.49312387990452117</v>
      </c>
      <c r="Z78">
        <f t="shared" si="18"/>
        <v>0.39170322290511861</v>
      </c>
      <c r="AA78">
        <f t="shared" si="18"/>
        <v>0.46784122164228431</v>
      </c>
      <c r="AB78">
        <f t="shared" si="18"/>
        <v>0.60088169072775932</v>
      </c>
      <c r="AC78">
        <f t="shared" si="18"/>
        <v>0.55648841714602637</v>
      </c>
      <c r="AD78">
        <f t="shared" si="18"/>
        <v>0.59272603123848167</v>
      </c>
      <c r="AE78">
        <f t="shared" si="18"/>
        <v>0.68644431905629988</v>
      </c>
      <c r="AF78">
        <f t="shared" si="18"/>
        <v>0.72012537791984299</v>
      </c>
    </row>
    <row r="79" spans="1:32" x14ac:dyDescent="0.25">
      <c r="B79" s="15" t="s">
        <v>27</v>
      </c>
      <c r="C79">
        <f>_xlfn.STDEV.P(C$43:C$52)</f>
        <v>0.40735421934851473</v>
      </c>
      <c r="D79">
        <f>_xlfn.STDEV.P(D$43:D$52)</f>
        <v>0.22882697824935608</v>
      </c>
      <c r="E79">
        <f>_xlfn.STDEV.P(E$43:E$52)</f>
        <v>0.15588269364572313</v>
      </c>
      <c r="F79">
        <f>_xlfn.STDEV.P(F$43:F$52)</f>
        <v>0.18844215738525513</v>
      </c>
      <c r="G79">
        <f>_xlfn.STDEV.P(G$43:G$52)</f>
        <v>0.19516485980508372</v>
      </c>
      <c r="H79">
        <f t="shared" ref="H79:AF79" si="19">_xlfn.STDEV.P(H$43:H$52)</f>
        <v>0.21737214111553249</v>
      </c>
      <c r="I79">
        <f t="shared" si="19"/>
        <v>0.21076912955684604</v>
      </c>
      <c r="J79">
        <f t="shared" si="19"/>
        <v>0.15242918063469243</v>
      </c>
      <c r="K79">
        <f t="shared" si="19"/>
        <v>0.14240908895211513</v>
      </c>
      <c r="L79">
        <f t="shared" si="19"/>
        <v>0.13323611338569563</v>
      </c>
      <c r="M79">
        <f t="shared" si="19"/>
        <v>0.14385787954666301</v>
      </c>
      <c r="N79">
        <f t="shared" si="19"/>
        <v>0.19967693437553055</v>
      </c>
      <c r="O79">
        <f t="shared" si="19"/>
        <v>0.22481538287895</v>
      </c>
      <c r="P79">
        <f t="shared" si="19"/>
        <v>0.1679223317442704</v>
      </c>
      <c r="Q79" s="3">
        <f t="shared" si="19"/>
        <v>0.16223060214515422</v>
      </c>
      <c r="R79">
        <f t="shared" si="19"/>
        <v>0.26729095569922789</v>
      </c>
      <c r="S79">
        <f t="shared" si="19"/>
        <v>0.15849206302261043</v>
      </c>
      <c r="T79">
        <f t="shared" si="19"/>
        <v>0.22162177280381382</v>
      </c>
      <c r="U79">
        <f t="shared" si="19"/>
        <v>0.19766754253225016</v>
      </c>
      <c r="V79">
        <f t="shared" si="19"/>
        <v>0.22609542153083734</v>
      </c>
      <c r="W79">
        <f t="shared" si="19"/>
        <v>0.2587722074835288</v>
      </c>
      <c r="X79">
        <f t="shared" si="19"/>
        <v>0.24987467500391206</v>
      </c>
      <c r="Y79">
        <f t="shared" si="19"/>
        <v>0.1804838094801145</v>
      </c>
      <c r="Z79">
        <f t="shared" si="19"/>
        <v>0.25741979115931363</v>
      </c>
      <c r="AA79">
        <f t="shared" si="19"/>
        <v>0.22345234522275834</v>
      </c>
      <c r="AB79">
        <f t="shared" si="19"/>
        <v>0.15419769489578861</v>
      </c>
      <c r="AC79">
        <f t="shared" si="19"/>
        <v>0.25213533243277236</v>
      </c>
      <c r="AD79">
        <f t="shared" si="19"/>
        <v>0.22068896551151687</v>
      </c>
      <c r="AE79">
        <f t="shared" si="19"/>
        <v>0.17675219682877466</v>
      </c>
      <c r="AF79">
        <f t="shared" si="19"/>
        <v>0.14624075658459845</v>
      </c>
    </row>
    <row r="80" spans="1:32" x14ac:dyDescent="0.25">
      <c r="B80" s="15" t="s">
        <v>28</v>
      </c>
      <c r="C80">
        <f>_xlfn.STDEV.S(C$43:C$52)</f>
        <v>0.42938904920704601</v>
      </c>
      <c r="D80">
        <f>_xlfn.STDEV.S(D$43:D$52)</f>
        <v>0.24120481378725819</v>
      </c>
      <c r="E80">
        <f>_xlfn.STDEV.S(E$43:E$52)</f>
        <v>0.16431478657424683</v>
      </c>
      <c r="F80">
        <f>_xlfn.STDEV.S(F$43:F$52)</f>
        <v>0.19863547484444205</v>
      </c>
      <c r="G80">
        <f>_xlfn.STDEV.S(G$43:G$52)</f>
        <v>0.20572182540383674</v>
      </c>
      <c r="H80">
        <f t="shared" ref="H80:AF80" si="20">_xlfn.STDEV.S(H$43:H$52)</f>
        <v>0.22913035526420536</v>
      </c>
      <c r="I80">
        <f t="shared" si="20"/>
        <v>0.22217016995024952</v>
      </c>
      <c r="J80">
        <f t="shared" si="20"/>
        <v>0.1606744642262864</v>
      </c>
      <c r="K80">
        <f t="shared" si="20"/>
        <v>0.15011236019940186</v>
      </c>
      <c r="L80">
        <f t="shared" si="20"/>
        <v>0.14044319496241575</v>
      </c>
      <c r="M80">
        <f t="shared" si="20"/>
        <v>0.15163951957653521</v>
      </c>
      <c r="N80">
        <f t="shared" si="20"/>
        <v>0.21047796960888296</v>
      </c>
      <c r="O80">
        <f t="shared" si="20"/>
        <v>0.23697622098010171</v>
      </c>
      <c r="P80">
        <f t="shared" si="20"/>
        <v>0.1770056794394301</v>
      </c>
      <c r="Q80" s="3">
        <f t="shared" si="20"/>
        <v>0.17100606965309523</v>
      </c>
      <c r="R80">
        <f t="shared" si="20"/>
        <v>0.28174940599090809</v>
      </c>
      <c r="S80">
        <f t="shared" si="20"/>
        <v>0.16706530340346648</v>
      </c>
      <c r="T80">
        <f t="shared" si="20"/>
        <v>0.23360986038147083</v>
      </c>
      <c r="U80">
        <f t="shared" si="20"/>
        <v>0.20835988463003921</v>
      </c>
      <c r="V80">
        <f t="shared" si="20"/>
        <v>0.23832550019110652</v>
      </c>
      <c r="W80">
        <f t="shared" si="20"/>
        <v>0.27276985693253991</v>
      </c>
      <c r="X80">
        <f t="shared" si="20"/>
        <v>0.26339103420223509</v>
      </c>
      <c r="Y80">
        <f t="shared" si="20"/>
        <v>0.19024663958035076</v>
      </c>
      <c r="Z80">
        <f t="shared" si="20"/>
        <v>0.27134428495610241</v>
      </c>
      <c r="AA80">
        <f t="shared" si="20"/>
        <v>0.23553945313672045</v>
      </c>
      <c r="AB80">
        <f t="shared" si="20"/>
        <v>0.1625386419394706</v>
      </c>
      <c r="AC80">
        <f t="shared" si="20"/>
        <v>0.26577397636376132</v>
      </c>
      <c r="AD80">
        <f t="shared" si="20"/>
        <v>0.23262659516091322</v>
      </c>
      <c r="AE80">
        <f t="shared" si="20"/>
        <v>0.1863131744724395</v>
      </c>
      <c r="AF80">
        <f t="shared" si="20"/>
        <v>0.15415129251786594</v>
      </c>
    </row>
    <row r="81" spans="2:32" x14ac:dyDescent="0.25">
      <c r="Q81" s="3"/>
    </row>
    <row r="82" spans="2:32" x14ac:dyDescent="0.25">
      <c r="B82" t="s">
        <v>29</v>
      </c>
      <c r="C82">
        <f>AVERAGE(C$62,C$66,C$70,C$74,C$78)</f>
        <v>1.1154466013970492</v>
      </c>
      <c r="D82">
        <f>AVERAGE(D$62,D$66,D$70,D$74,D$78)</f>
        <v>0.91654837613277884</v>
      </c>
      <c r="E82">
        <f>AVERAGE(E$62,E$66,E$70,E$74,E$78)</f>
        <v>0.95994994532105993</v>
      </c>
      <c r="F82">
        <f>AVERAGE(F$62,F$66,F$70,F$74,F$78)</f>
        <v>0.94978957838228217</v>
      </c>
      <c r="G82">
        <f>AVERAGE(G$62,G$66,G$70,G$74,G$78)</f>
        <v>1.0320915457628681</v>
      </c>
      <c r="H82">
        <f t="shared" ref="H82:AF82" si="21">AVERAGE(H$62,H$66,H$70,H$74,H$78)</f>
        <v>0.93877527054169074</v>
      </c>
      <c r="I82">
        <f t="shared" si="21"/>
        <v>1.0906843232334562</v>
      </c>
      <c r="J82">
        <f t="shared" si="21"/>
        <v>0.98001048308092931</v>
      </c>
      <c r="K82">
        <f t="shared" si="21"/>
        <v>1.061173973259097</v>
      </c>
      <c r="L82">
        <f t="shared" si="21"/>
        <v>1.0307674656821302</v>
      </c>
      <c r="M82">
        <f t="shared" si="21"/>
        <v>0.90233560541501778</v>
      </c>
      <c r="N82">
        <f t="shared" si="21"/>
        <v>0.91067246272881963</v>
      </c>
      <c r="O82">
        <f t="shared" si="21"/>
        <v>0.88321772581006308</v>
      </c>
      <c r="P82">
        <f t="shared" si="21"/>
        <v>0.84355062789945623</v>
      </c>
      <c r="Q82" s="3">
        <f t="shared" si="21"/>
        <v>0.85057278217601129</v>
      </c>
      <c r="R82">
        <f t="shared" si="21"/>
        <v>0.45867896108691175</v>
      </c>
      <c r="S82">
        <f t="shared" si="21"/>
        <v>0.57447786805182766</v>
      </c>
      <c r="T82">
        <f t="shared" si="21"/>
        <v>0.52916544055029513</v>
      </c>
      <c r="U82">
        <f t="shared" si="21"/>
        <v>0.55374242002769958</v>
      </c>
      <c r="V82">
        <f t="shared" si="21"/>
        <v>0.56123825899432522</v>
      </c>
      <c r="W82">
        <f t="shared" si="21"/>
        <v>0.56110450894938302</v>
      </c>
      <c r="X82">
        <f t="shared" si="21"/>
        <v>0.45168473893215361</v>
      </c>
      <c r="Y82">
        <f t="shared" si="21"/>
        <v>0.51236984321569601</v>
      </c>
      <c r="Z82">
        <f t="shared" si="21"/>
        <v>0.44262543959609946</v>
      </c>
      <c r="AA82">
        <f t="shared" si="21"/>
        <v>0.47040189047633579</v>
      </c>
      <c r="AB82">
        <f t="shared" si="21"/>
        <v>0.57961808881399035</v>
      </c>
      <c r="AC82">
        <f t="shared" si="21"/>
        <v>0.55973810944799596</v>
      </c>
      <c r="AD82">
        <f t="shared" si="21"/>
        <v>0.58220101049437234</v>
      </c>
      <c r="AE82">
        <f t="shared" si="21"/>
        <v>0.62614007457354126</v>
      </c>
      <c r="AF82">
        <f t="shared" si="21"/>
        <v>0.61829504901199983</v>
      </c>
    </row>
    <row r="83" spans="2:32" x14ac:dyDescent="0.25">
      <c r="B83" t="s">
        <v>30</v>
      </c>
      <c r="C83">
        <f>_xlfn.STDEV.P(C$62,C$66,C$70,C$74,C$78)</f>
        <v>0.11789488040316004</v>
      </c>
      <c r="D83">
        <f>_xlfn.STDEV.P(D$62,D$66,D$70,D$74,D$78)</f>
        <v>6.2633086485331307E-2</v>
      </c>
      <c r="E83">
        <f>_xlfn.STDEV.P(E$62,E$66,E$70,E$74,E$78)</f>
        <v>0.11315198460225942</v>
      </c>
      <c r="F83">
        <f>_xlfn.STDEV.P(F$62,F$66,F$70,F$74,F$78)</f>
        <v>8.9812243122088395E-2</v>
      </c>
      <c r="G83">
        <f>_xlfn.STDEV.P(G$62,G$66,G$70,G$74,G$78)</f>
        <v>9.3544899393472727E-2</v>
      </c>
      <c r="H83">
        <f t="shared" ref="H83:AF83" si="22">_xlfn.STDEV.P(H$62,H$66,H$70,H$74,H$78)</f>
        <v>6.16983011315363E-2</v>
      </c>
      <c r="I83">
        <f t="shared" si="22"/>
        <v>6.8034223605375019E-2</v>
      </c>
      <c r="J83">
        <f t="shared" si="22"/>
        <v>6.4359610158432126E-2</v>
      </c>
      <c r="K83">
        <f t="shared" si="22"/>
        <v>8.9152065876029071E-2</v>
      </c>
      <c r="L83">
        <f t="shared" si="22"/>
        <v>6.4507780947631835E-2</v>
      </c>
      <c r="M83">
        <f t="shared" si="22"/>
        <v>6.6942721727690085E-2</v>
      </c>
      <c r="N83">
        <f t="shared" si="22"/>
        <v>6.8542713348842543E-2</v>
      </c>
      <c r="O83">
        <f t="shared" si="22"/>
        <v>4.9272425441022692E-2</v>
      </c>
      <c r="P83">
        <f t="shared" si="22"/>
        <v>7.6321960429601696E-2</v>
      </c>
      <c r="Q83" s="3">
        <f t="shared" si="22"/>
        <v>8.0113630441703582E-2</v>
      </c>
      <c r="R83">
        <f t="shared" si="22"/>
        <v>6.1284996120250054E-2</v>
      </c>
      <c r="S83">
        <f t="shared" si="22"/>
        <v>6.3198013103263811E-2</v>
      </c>
      <c r="T83">
        <f t="shared" si="22"/>
        <v>8.343309903390031E-2</v>
      </c>
      <c r="U83">
        <f t="shared" si="22"/>
        <v>4.9694760291614605E-2</v>
      </c>
      <c r="V83">
        <f t="shared" si="22"/>
        <v>4.7618215715644417E-2</v>
      </c>
      <c r="W83">
        <f t="shared" si="22"/>
        <v>2.8962675916208654E-2</v>
      </c>
      <c r="X83">
        <f t="shared" si="22"/>
        <v>3.3764424342843283E-2</v>
      </c>
      <c r="Y83">
        <f t="shared" si="22"/>
        <v>2.4738685670612756E-2</v>
      </c>
      <c r="Z83">
        <f t="shared" si="22"/>
        <v>3.0845165518466756E-2</v>
      </c>
      <c r="AA83">
        <f t="shared" si="22"/>
        <v>2.2612878088309387E-2</v>
      </c>
      <c r="AB83">
        <f t="shared" si="22"/>
        <v>3.9945435820342524E-2</v>
      </c>
      <c r="AC83">
        <f t="shared" si="22"/>
        <v>3.8786947759640575E-2</v>
      </c>
      <c r="AD83">
        <f t="shared" si="22"/>
        <v>2.1856070236705053E-2</v>
      </c>
      <c r="AE83">
        <f t="shared" si="22"/>
        <v>4.7148262437468752E-2</v>
      </c>
      <c r="AF83">
        <f t="shared" si="22"/>
        <v>6.1819490750455931E-2</v>
      </c>
    </row>
    <row r="84" spans="2:32" x14ac:dyDescent="0.25">
      <c r="B84" t="s">
        <v>31</v>
      </c>
      <c r="C84">
        <f>_xlfn.STDEV.S(C$62,C$66,C$70,C$74,C$78)</f>
        <v>0.13181048339033716</v>
      </c>
      <c r="D84">
        <f>_xlfn.STDEV.S(D$62,D$66,D$70,D$74,D$78)</f>
        <v>7.0025919510912082E-2</v>
      </c>
      <c r="E84">
        <f>_xlfn.STDEV.S(E$62,E$66,E$70,E$74,E$78)</f>
        <v>0.12650776467983044</v>
      </c>
      <c r="F84">
        <f>_xlfn.STDEV.S(F$62,F$66,F$70,F$74,F$78)</f>
        <v>0.1004131404163638</v>
      </c>
      <c r="G84">
        <f>_xlfn.STDEV.S(G$62,G$66,G$70,G$74,G$78)</f>
        <v>0.10458637699609194</v>
      </c>
      <c r="H84">
        <f t="shared" ref="H84:AF84" si="23">_xlfn.STDEV.S(H$62,H$66,H$70,H$74,H$78)</f>
        <v>6.8980797713183675E-2</v>
      </c>
      <c r="I84">
        <f t="shared" si="23"/>
        <v>7.6064574389019687E-2</v>
      </c>
      <c r="J84">
        <f t="shared" si="23"/>
        <v>7.1956231659820125E-2</v>
      </c>
      <c r="K84">
        <f t="shared" si="23"/>
        <v>9.9675039816670169E-2</v>
      </c>
      <c r="L84">
        <f t="shared" si="23"/>
        <v>7.2121891638285293E-2</v>
      </c>
      <c r="M84">
        <f t="shared" si="23"/>
        <v>7.4844238190983597E-2</v>
      </c>
      <c r="N84">
        <f t="shared" si="23"/>
        <v>7.6633083205147084E-2</v>
      </c>
      <c r="O84">
        <f t="shared" si="23"/>
        <v>5.5088246351208396E-2</v>
      </c>
      <c r="P84">
        <f t="shared" si="23"/>
        <v>8.5330545848319228E-2</v>
      </c>
      <c r="Q84" s="3">
        <f t="shared" si="23"/>
        <v>8.9569761795972855E-2</v>
      </c>
      <c r="R84">
        <f t="shared" si="23"/>
        <v>6.8518708662844915E-2</v>
      </c>
      <c r="S84">
        <f t="shared" si="23"/>
        <v>7.0657526670909757E-2</v>
      </c>
      <c r="T84">
        <f t="shared" si="23"/>
        <v>9.3281040506636437E-2</v>
      </c>
      <c r="U84">
        <f t="shared" si="23"/>
        <v>5.5560431068803762E-2</v>
      </c>
      <c r="V84">
        <f t="shared" si="23"/>
        <v>5.3238783653714851E-2</v>
      </c>
      <c r="W84">
        <f t="shared" si="23"/>
        <v>3.2381256079469276E-2</v>
      </c>
      <c r="X84">
        <f t="shared" si="23"/>
        <v>3.7749774025873123E-2</v>
      </c>
      <c r="Y84">
        <f t="shared" si="23"/>
        <v>2.7658691416745047E-2</v>
      </c>
      <c r="Z84">
        <f t="shared" si="23"/>
        <v>3.4485943438262105E-2</v>
      </c>
      <c r="AA84">
        <f t="shared" si="23"/>
        <v>2.5281966286187639E-2</v>
      </c>
      <c r="AB84">
        <f t="shared" si="23"/>
        <v>4.4660354942570479E-2</v>
      </c>
      <c r="AC84">
        <f t="shared" si="23"/>
        <v>4.3365125915144742E-2</v>
      </c>
      <c r="AD84">
        <f t="shared" si="23"/>
        <v>2.4435829385141206E-2</v>
      </c>
      <c r="AE84">
        <f t="shared" si="23"/>
        <v>5.2713359915590029E-2</v>
      </c>
      <c r="AF84">
        <f t="shared" si="23"/>
        <v>6.9116291826219478E-2</v>
      </c>
    </row>
    <row r="86" spans="2:32" x14ac:dyDescent="0.25">
      <c r="B86" s="15"/>
    </row>
    <row r="87" spans="2:32" x14ac:dyDescent="0.25">
      <c r="B87" s="15"/>
    </row>
    <row r="88" spans="2:32" x14ac:dyDescent="0.25">
      <c r="B88" s="15"/>
    </row>
  </sheetData>
  <mergeCells count="7">
    <mergeCell ref="A43:A52"/>
    <mergeCell ref="C1:Q1"/>
    <mergeCell ref="R1:AF1"/>
    <mergeCell ref="A3:A12"/>
    <mergeCell ref="A13:A22"/>
    <mergeCell ref="A23:A32"/>
    <mergeCell ref="A33:A42"/>
  </mergeCells>
  <conditionalFormatting sqref="B55:B60 B62:B64">
    <cfRule type="duplicateValues" dxfId="5" priority="6"/>
  </conditionalFormatting>
  <conditionalFormatting sqref="B66:B68">
    <cfRule type="duplicateValues" dxfId="4" priority="5"/>
  </conditionalFormatting>
  <conditionalFormatting sqref="B70:B72">
    <cfRule type="duplicateValues" dxfId="3" priority="4"/>
  </conditionalFormatting>
  <conditionalFormatting sqref="B74:B76">
    <cfRule type="duplicateValues" dxfId="2" priority="3"/>
  </conditionalFormatting>
  <conditionalFormatting sqref="B78:B80">
    <cfRule type="duplicateValues" dxfId="1" priority="2"/>
  </conditionalFormatting>
  <conditionalFormatting sqref="B86:B88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102</vt:lpstr>
      <vt:lpstr>459</vt:lpstr>
      <vt:lpstr>854</vt:lpstr>
      <vt:lpstr>912</vt:lpstr>
      <vt:lpstr>1257</vt:lpstr>
      <vt:lpstr>Combined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Dr JBO Mitchell</cp:lastModifiedBy>
  <dcterms:created xsi:type="dcterms:W3CDTF">2014-02-04T19:45:05Z</dcterms:created>
  <dcterms:modified xsi:type="dcterms:W3CDTF">2014-12-19T15:33:39Z</dcterms:modified>
</cp:coreProperties>
</file>